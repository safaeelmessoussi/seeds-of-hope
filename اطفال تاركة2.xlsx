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Sheet1" sheetId="3" r:id="rId6"/>
    <sheet state="visible" name="Sheet2" sheetId="4" r:id="rId7"/>
    <sheet state="visible" name="Sheet3" sheetId="5" r:id="rId8"/>
  </sheets>
  <definedNames/>
  <calcPr/>
  <extLst>
    <ext uri="GoogleSheetsCustomDataVersion2">
      <go:sheetsCustomData xmlns:go="http://customooxmlschemas.google.com/" r:id="rId9" roundtripDataChecksum="6JIFftJ/S/fJNvIf/UCIgNmx91qcVwVJG61sS8oKjnU="/>
    </ext>
  </extLst>
</workbook>
</file>

<file path=xl/sharedStrings.xml><?xml version="1.0" encoding="utf-8"?>
<sst xmlns="http://schemas.openxmlformats.org/spreadsheetml/2006/main" count="2358" uniqueCount="553">
  <si>
    <t>حصة الأربعاء مساء</t>
  </si>
  <si>
    <t>اسم المؤطرة</t>
  </si>
  <si>
    <t>الرقم الترتيبي</t>
  </si>
  <si>
    <t xml:space="preserve">الاسم الكامل </t>
  </si>
  <si>
    <t>رقم القاعة</t>
  </si>
  <si>
    <t>كتاكيت الامل 1</t>
  </si>
  <si>
    <t>المؤطرة ناديا هوكا وسعيدة لمسهل</t>
  </si>
  <si>
    <t>عليا الكشوري</t>
  </si>
  <si>
    <t>رنا السنوسي</t>
  </si>
  <si>
    <t>رندا السنوسي</t>
  </si>
  <si>
    <t>نادين الشادلي</t>
  </si>
  <si>
    <t>إليان منوار</t>
  </si>
  <si>
    <t>ألماس المرابطي الفاسي</t>
  </si>
  <si>
    <t>سلمى نور كولا</t>
  </si>
  <si>
    <t>سليمان كولا</t>
  </si>
  <si>
    <t xml:space="preserve">جاد مجدان </t>
  </si>
  <si>
    <t>يعقوب المجاد</t>
  </si>
  <si>
    <t>أويس برتوز</t>
  </si>
  <si>
    <t>لينا ما</t>
  </si>
  <si>
    <t>ليليان ما</t>
  </si>
  <si>
    <t>إشراق بنعظيم</t>
  </si>
  <si>
    <t>براعم الامل 1</t>
  </si>
  <si>
    <t>المؤطرة سعاد شاوليض</t>
  </si>
  <si>
    <t>إلياس مخلص</t>
  </si>
  <si>
    <t>محمد سليمان المنيب</t>
  </si>
  <si>
    <t>محمد جبريل برتوز</t>
  </si>
  <si>
    <t>أميرة اخراز</t>
  </si>
  <si>
    <t>إليان بدير</t>
  </si>
  <si>
    <t>آلاء بنعظيم</t>
  </si>
  <si>
    <t>جنى السنوسي</t>
  </si>
  <si>
    <t>لينا الكشوري</t>
  </si>
  <si>
    <t>فاطمة الزهراء الراجفي</t>
  </si>
  <si>
    <t>براعم الامل 2</t>
  </si>
  <si>
    <t>المؤطرة أسماء بنمبروك وهدى الجعفري</t>
  </si>
  <si>
    <t>زياد لبي</t>
  </si>
  <si>
    <t>إياد لبي</t>
  </si>
  <si>
    <t>كرم الله بن إسماعيل</t>
  </si>
  <si>
    <t>ملاك أبو الذهاب</t>
  </si>
  <si>
    <t>غالية بنرايس</t>
  </si>
  <si>
    <t>محمد أمين رميلت</t>
  </si>
  <si>
    <t>محمد بنيس</t>
  </si>
  <si>
    <t>اشبال الامل 1</t>
  </si>
  <si>
    <t>المؤطرة نعيمة واحي و أمينة باني</t>
  </si>
  <si>
    <t>جنات فردوس خاتم</t>
  </si>
  <si>
    <t>محمد أواب الحاري</t>
  </si>
  <si>
    <t>جنات النية</t>
  </si>
  <si>
    <t>سفيان بوتزرزيت</t>
  </si>
  <si>
    <t>ضياء البوعاوي</t>
  </si>
  <si>
    <t>ياسمين عيشا يضلان</t>
  </si>
  <si>
    <t>ميسان بدير</t>
  </si>
  <si>
    <t>سليمان بدير</t>
  </si>
  <si>
    <t>كنزة الراجفي</t>
  </si>
  <si>
    <t>اشبال الامل 2</t>
  </si>
  <si>
    <t>المؤطرة مها كسيكس وايمان بنزاكور</t>
  </si>
  <si>
    <t>إسراء خاتم</t>
  </si>
  <si>
    <t>إياد بيدح</t>
  </si>
  <si>
    <t>جوديا كشون</t>
  </si>
  <si>
    <t>شهد زهار</t>
  </si>
  <si>
    <t>ليليا عطارد</t>
  </si>
  <si>
    <t>محمد لمريني</t>
  </si>
  <si>
    <t>صوفية أوبوحسين</t>
  </si>
  <si>
    <t>يانيس الميداوي</t>
  </si>
  <si>
    <t>سارة بوزيدي</t>
  </si>
  <si>
    <t>إبراهيم برادة العزيزي</t>
  </si>
  <si>
    <t>أجيال الامل 1</t>
  </si>
  <si>
    <t>المؤطرة أمينة امركي</t>
  </si>
  <si>
    <t>شهد أوبرو</t>
  </si>
  <si>
    <t>محمد الرزيقي</t>
  </si>
  <si>
    <t>جاد قاموس</t>
  </si>
  <si>
    <t>آدم الميداوي</t>
  </si>
  <si>
    <t>لينة أوبوحسين</t>
  </si>
  <si>
    <t>عمر عراض</t>
  </si>
  <si>
    <t>حصة السبت صباحا</t>
  </si>
  <si>
    <t>براعم الامل 3</t>
  </si>
  <si>
    <t>المؤطرة عزيزة الخياري و ماجدة الزيتوني</t>
  </si>
  <si>
    <t>ثريا بنمبروك</t>
  </si>
  <si>
    <t>ياقوت أزيكان</t>
  </si>
  <si>
    <t>ليان القوتلي</t>
  </si>
  <si>
    <t>ياسمين الفرواح</t>
  </si>
  <si>
    <t>جاد المرزوقي</t>
  </si>
  <si>
    <t>جاد فاتحي</t>
  </si>
  <si>
    <t>محمد الغالي أحمو</t>
  </si>
  <si>
    <t>عثمان مزدهر</t>
  </si>
  <si>
    <t>غالي الفضلي</t>
  </si>
  <si>
    <t>علاء الدين البلبولي</t>
  </si>
  <si>
    <t>ياسمين حجيج</t>
  </si>
  <si>
    <t>ياقوت العباسي</t>
  </si>
  <si>
    <t>براعم الامل 4</t>
  </si>
  <si>
    <t>المؤطرة لطيفة ادرموش وحليمة بوزحيف</t>
  </si>
  <si>
    <t>طه كرزازي</t>
  </si>
  <si>
    <t>حفصة السعداوي</t>
  </si>
  <si>
    <t>ليليا ميرال مدرك</t>
  </si>
  <si>
    <t>غيثة المواسني</t>
  </si>
  <si>
    <t>هارون اجبابدي</t>
  </si>
  <si>
    <t>عمران اجبابدي</t>
  </si>
  <si>
    <t>سعد بلقائد</t>
  </si>
  <si>
    <t>عثمان ماماد</t>
  </si>
  <si>
    <t>زيد الخلطي</t>
  </si>
  <si>
    <t>نعمة متعبد</t>
  </si>
  <si>
    <t>ياسمين دويحي</t>
  </si>
  <si>
    <t>أميرة صبير</t>
  </si>
  <si>
    <t>براعم الامل 5</t>
  </si>
  <si>
    <t>المؤطرة شمس الدين زهرة و غزلان اباضة</t>
  </si>
  <si>
    <t>جاد روان</t>
  </si>
  <si>
    <t>أمجد روان</t>
  </si>
  <si>
    <t>سارة الحساني</t>
  </si>
  <si>
    <t>عبد الله عالم</t>
  </si>
  <si>
    <t>مي السلاك</t>
  </si>
  <si>
    <t>أكرم العزيزي الادريسي</t>
  </si>
  <si>
    <t>غالي البوزيدي</t>
  </si>
  <si>
    <t>نور تسنيم فاتحي</t>
  </si>
  <si>
    <t>تسنيم قاسم</t>
  </si>
  <si>
    <t>مريم عالم</t>
  </si>
  <si>
    <t>اشبال الامل 3</t>
  </si>
  <si>
    <t>المؤطرة نادية الحسناوي وريم بلمامون</t>
  </si>
  <si>
    <t>الطيب الصديق الأزمي</t>
  </si>
  <si>
    <t>آية العلوي</t>
  </si>
  <si>
    <t>إسماعيل التلسغاني</t>
  </si>
  <si>
    <t>ريان الضريف</t>
  </si>
  <si>
    <t>شهد البودالي</t>
  </si>
  <si>
    <t>غيثة سملالي</t>
  </si>
  <si>
    <t>محمد غالي أغياي</t>
  </si>
  <si>
    <t>ياسر زويحيل</t>
  </si>
  <si>
    <t>شهد ريحان</t>
  </si>
  <si>
    <t>جنان أبواريك</t>
  </si>
  <si>
    <t>جويرية وراد</t>
  </si>
  <si>
    <t>اشبال الامل 4</t>
  </si>
  <si>
    <t>المؤطرة دنيا الزوبير و حبيبة بنودة</t>
  </si>
  <si>
    <t>أمجد عمران</t>
  </si>
  <si>
    <t>أروي غسات</t>
  </si>
  <si>
    <t>لينا جمالي</t>
  </si>
  <si>
    <t>لينة لمغاري</t>
  </si>
  <si>
    <t>محمد بيان بن دادو</t>
  </si>
  <si>
    <t>ياسر مريودات</t>
  </si>
  <si>
    <t>ريم فاتحي</t>
  </si>
  <si>
    <t>وسيم بوحمادي</t>
  </si>
  <si>
    <t>محمد علي فكري</t>
  </si>
  <si>
    <t>آسية عيار</t>
  </si>
  <si>
    <t>اسية اشمض</t>
  </si>
  <si>
    <t>إيناس كربوز</t>
  </si>
  <si>
    <t>اشبال الامل 5</t>
  </si>
  <si>
    <t>المؤطرة هدى بنسايح وبهيجة دريكي</t>
  </si>
  <si>
    <t>أمير بن سالك</t>
  </si>
  <si>
    <t>أويس سلفي</t>
  </si>
  <si>
    <t>محمد جاد باسعيد</t>
  </si>
  <si>
    <t>علي أويال</t>
  </si>
  <si>
    <t>جاد بناني</t>
  </si>
  <si>
    <t>سليمان الفتاوي</t>
  </si>
  <si>
    <t>دنيا بها</t>
  </si>
  <si>
    <t>رميساء إنصالي</t>
  </si>
  <si>
    <t>هتان نصيب</t>
  </si>
  <si>
    <t>أميرة النعماني</t>
  </si>
  <si>
    <t>تسنيم أمزيل</t>
  </si>
  <si>
    <t>أجيال الامل 2</t>
  </si>
  <si>
    <t>المؤطرة مريم التريدي و فاطمة الزهراء حلماوي</t>
  </si>
  <si>
    <t>آدم قنجاوي</t>
  </si>
  <si>
    <t>أريج اشوال</t>
  </si>
  <si>
    <t>أسماء بوغمران</t>
  </si>
  <si>
    <t>جنات الضريف</t>
  </si>
  <si>
    <t>محمد الوكاكي</t>
  </si>
  <si>
    <t>محمد بن صالح</t>
  </si>
  <si>
    <t>ياسمين اجبابدي</t>
  </si>
  <si>
    <t>إلياس السميج</t>
  </si>
  <si>
    <t>شامة ماماد</t>
  </si>
  <si>
    <t>أنس بونة</t>
  </si>
  <si>
    <t>رضى الرحمان بولحسن</t>
  </si>
  <si>
    <t>نضال كدار</t>
  </si>
  <si>
    <t>جود وراد</t>
  </si>
  <si>
    <t>ياسمين واكريم</t>
  </si>
  <si>
    <t>أجيال الامل 3</t>
  </si>
  <si>
    <t>المؤطرة حنان المالكي و كلثوم حموجان</t>
  </si>
  <si>
    <t>آدم أيت حجو</t>
  </si>
  <si>
    <t>سارة ماماد</t>
  </si>
  <si>
    <t>اليزيد الموداني</t>
  </si>
  <si>
    <t>ندي رشدي</t>
  </si>
  <si>
    <t>محمد مهدي الفتاوي</t>
  </si>
  <si>
    <t>محمد سامي عمران</t>
  </si>
  <si>
    <t>محمد غالي مكاكل</t>
  </si>
  <si>
    <t>محمد يحيى بوغمران</t>
  </si>
  <si>
    <t>ياقوت خطابي</t>
  </si>
  <si>
    <t>جهاد أبواريك</t>
  </si>
  <si>
    <t>عبد الرحمان حمدان</t>
  </si>
  <si>
    <t>إيناس حمدان</t>
  </si>
  <si>
    <t>أنس حاتمي</t>
  </si>
  <si>
    <t>سواعد الامل</t>
  </si>
  <si>
    <t>المؤطرة أسماء بنمبروك و أسماء النصاص</t>
  </si>
  <si>
    <t>أم كلثوم حجاوي</t>
  </si>
  <si>
    <t>أمجد وراد</t>
  </si>
  <si>
    <t>أنس زويحيل</t>
  </si>
  <si>
    <t>رضا البوعيطي</t>
  </si>
  <si>
    <t>نزار البوعيطي</t>
  </si>
  <si>
    <t>سامي الفرواح</t>
  </si>
  <si>
    <t>سلمى بلبولي</t>
  </si>
  <si>
    <t>ضياء فكري</t>
  </si>
  <si>
    <t>طه حميدوش</t>
  </si>
  <si>
    <t>سليمان السميج</t>
  </si>
  <si>
    <t>محمد أرشيق</t>
  </si>
  <si>
    <t>نيليا أماني</t>
  </si>
  <si>
    <t>هبة الله جريا</t>
  </si>
  <si>
    <t>يوسف جمولي</t>
  </si>
  <si>
    <t>إياد الخليفي</t>
  </si>
  <si>
    <t>الحالة الاجتماعية</t>
  </si>
  <si>
    <t>كتاكيت الامل 1 (القاعة 3)</t>
  </si>
  <si>
    <t>ناديا هوكا
سعيدة لمسهل</t>
  </si>
  <si>
    <t>براعم الامل 1 (القاعة 5)</t>
  </si>
  <si>
    <t>سعاد شاوليض</t>
  </si>
  <si>
    <t xml:space="preserve">براعم الامل 2 (القاعة 6) </t>
  </si>
  <si>
    <t>أسماء بنمبروك
هدى الجعفري</t>
  </si>
  <si>
    <t>اشبال الامل 1 (القاعة 1)</t>
  </si>
  <si>
    <t>نعيمة واحي
أمينة باني</t>
  </si>
  <si>
    <t xml:space="preserve">اشبال الامل 2 (القاعة 2) </t>
  </si>
  <si>
    <t>مها كسيكس 
إيمان بنزاكور</t>
  </si>
  <si>
    <t>أجيال الامل 1 (القاعة 4)</t>
  </si>
  <si>
    <t>أمينة أمركي</t>
  </si>
  <si>
    <t xml:space="preserve">براعم الامل 3 (القاعة 3) </t>
  </si>
  <si>
    <t>عزيزة الخياري 
ماجدة الزيتوني</t>
  </si>
  <si>
    <t xml:space="preserve">براعم الامل 4 (القاعة 2) </t>
  </si>
  <si>
    <t>لطيفة ادرموش
حليمة بوزحيف</t>
  </si>
  <si>
    <t xml:space="preserve">براعم الامل 5 (القاعة 4) </t>
  </si>
  <si>
    <t xml:space="preserve"> شمس الدين زهرة
غزلان اباضة</t>
  </si>
  <si>
    <t>اشبال الامل 3 (القاعة 5)</t>
  </si>
  <si>
    <t>نادية الحسناوي
ريم بلمامون</t>
  </si>
  <si>
    <t xml:space="preserve">اشبال الامل 4 (القاعة 1) </t>
  </si>
  <si>
    <t>دنيا الزوبير
حبيبة بنودة</t>
  </si>
  <si>
    <t xml:space="preserve">اشبال الامل 5 (القاعة 6) </t>
  </si>
  <si>
    <t>هدى بنسايح
بهيجة دريكي</t>
  </si>
  <si>
    <t>أجيال الامل 2 (القاعة 9)</t>
  </si>
  <si>
    <t>مريم التريدي 
فاطمة الزهراء حلماوي</t>
  </si>
  <si>
    <t xml:space="preserve">أجيال الامل 3 (القاعة 8) </t>
  </si>
  <si>
    <t>حنان المالكي
كلثوم حموجان</t>
  </si>
  <si>
    <t>سواعد الامل (القاعة 7)</t>
  </si>
  <si>
    <t>أسماء بنمبروك
أسماء النصاص</t>
  </si>
  <si>
    <t>اسم المستوى</t>
  </si>
  <si>
    <t>المؤطرة 1</t>
  </si>
  <si>
    <t>المؤطرة 2</t>
  </si>
  <si>
    <t>اليوم</t>
  </si>
  <si>
    <t>رقم المستوى</t>
  </si>
  <si>
    <t>غادر</t>
  </si>
  <si>
    <t>سبب المغادرة</t>
  </si>
  <si>
    <t>ناديا هوكا</t>
  </si>
  <si>
    <t>سعيدة لمسهل</t>
  </si>
  <si>
    <t>الأربعاء</t>
  </si>
  <si>
    <t>نعم</t>
  </si>
  <si>
    <t>كليها</t>
  </si>
  <si>
    <t>مع الأم</t>
  </si>
  <si>
    <t>الاب يعيش في الصين</t>
  </si>
  <si>
    <t>الأب يعيش في الصين</t>
  </si>
  <si>
    <t>أسماء بنمبروك</t>
  </si>
  <si>
    <t>هدى الجعفري</t>
  </si>
  <si>
    <t>نعيمة واحي</t>
  </si>
  <si>
    <t>أمينة باني</t>
  </si>
  <si>
    <t>مها كسيكس</t>
  </si>
  <si>
    <t>ايمان بنزاكور</t>
  </si>
  <si>
    <t>يتيم الأب</t>
  </si>
  <si>
    <t>أمينة امركي</t>
  </si>
  <si>
    <t>عزيزة الخياري</t>
  </si>
  <si>
    <t>ماجدة الزيتوني</t>
  </si>
  <si>
    <t>السبت</t>
  </si>
  <si>
    <t>علاء الدين بلبولي</t>
  </si>
  <si>
    <t>لطيفة ادرموش</t>
  </si>
  <si>
    <t>حليمة بوزحيف</t>
  </si>
  <si>
    <t>شمس الدين زهرة</t>
  </si>
  <si>
    <t>غزلان اباضة</t>
  </si>
  <si>
    <t>نادية الحسناوي</t>
  </si>
  <si>
    <t>ريم بلمامون</t>
  </si>
  <si>
    <t>دنيا الزوبير</t>
  </si>
  <si>
    <t>حبيبة بنودة</t>
  </si>
  <si>
    <t>يتيمة الاب</t>
  </si>
  <si>
    <t>هدى بنسايح</t>
  </si>
  <si>
    <t>بهيجة دريكي</t>
  </si>
  <si>
    <t>مريم التريدي</t>
  </si>
  <si>
    <t>فاطمة الزهراء حلماوي</t>
  </si>
  <si>
    <t>حنان المالكي</t>
  </si>
  <si>
    <t>كلثوم حموجان</t>
  </si>
  <si>
    <t>أسماء النصاص</t>
  </si>
  <si>
    <t>المستوى الدراسي</t>
  </si>
  <si>
    <t>مهنة ولي الامر</t>
  </si>
  <si>
    <t>العنوان</t>
  </si>
  <si>
    <t>رقم الهاتف</t>
  </si>
  <si>
    <t>المجموعة</t>
  </si>
  <si>
    <t>اللجة</t>
  </si>
  <si>
    <t>برادة العزيزي إبراهيم</t>
  </si>
  <si>
    <t>ابتدائي</t>
  </si>
  <si>
    <t>محاسب</t>
  </si>
  <si>
    <t>38 إقامة جنان تاركة</t>
  </si>
  <si>
    <t>كتاكيت الامل</t>
  </si>
  <si>
    <t>طفل</t>
  </si>
  <si>
    <t>مهندس</t>
  </si>
  <si>
    <t>أقامة نور 4 عمارة د3 رقم 2</t>
  </si>
  <si>
    <t>الخلطي زيد</t>
  </si>
  <si>
    <t xml:space="preserve">طبيب </t>
  </si>
  <si>
    <t>تاركة رقم 11</t>
  </si>
  <si>
    <t xml:space="preserve">سعد بلقائد </t>
  </si>
  <si>
    <t>موظف</t>
  </si>
  <si>
    <t>36 إقامة لاجوازنقة باني</t>
  </si>
  <si>
    <t>عمران أجبابدي</t>
  </si>
  <si>
    <t>أستاذ</t>
  </si>
  <si>
    <t>المسيرة 3 رقم 595</t>
  </si>
  <si>
    <t>مروضة طبية</t>
  </si>
  <si>
    <t>عرصة تاركة عمارة 21 شقة 3</t>
  </si>
  <si>
    <t>70أسيف ب</t>
  </si>
  <si>
    <t>إيطار فندقي</t>
  </si>
  <si>
    <t>حي الزيتون الجديد رقم 199</t>
  </si>
  <si>
    <t>لجين أسخار</t>
  </si>
  <si>
    <t>شقة 3أبواب كليز</t>
  </si>
  <si>
    <t>مقاول</t>
  </si>
  <si>
    <t>بساتين تاركة فيلا108</t>
  </si>
  <si>
    <t>تاجر</t>
  </si>
  <si>
    <t>جنان العافية بلوك 13</t>
  </si>
  <si>
    <t>حي الغول جليز مراكش شقة 11</t>
  </si>
  <si>
    <t>اروى غسات</t>
  </si>
  <si>
    <t>249 الصفصاف</t>
  </si>
  <si>
    <t>مسؤول تجاري</t>
  </si>
  <si>
    <t>404 تجزئة الصفصاف مراكش</t>
  </si>
  <si>
    <t>محمد بيان بندادو</t>
  </si>
  <si>
    <t>تجزئة الحسنية تاركة 18</t>
  </si>
  <si>
    <t>محمد غالي اغياي</t>
  </si>
  <si>
    <t>مهندس معلوميات</t>
  </si>
  <si>
    <t>مسيرة 1 عمارة 13 رقم 09</t>
  </si>
  <si>
    <t>موظف IAM</t>
  </si>
  <si>
    <t xml:space="preserve">حي صوفيا الوردة 268 تاركة </t>
  </si>
  <si>
    <t>اميرة صبير</t>
  </si>
  <si>
    <t>286 صفصاف</t>
  </si>
  <si>
    <t>ليليا مدرك</t>
  </si>
  <si>
    <t xml:space="preserve">تجزئة النخيل 2 رقم 1145 تاركة </t>
  </si>
  <si>
    <t>أميرة أخراز</t>
  </si>
  <si>
    <t xml:space="preserve">بدون </t>
  </si>
  <si>
    <t>صوفيا الوردة رقم 200</t>
  </si>
  <si>
    <t>انس بونة</t>
  </si>
  <si>
    <t xml:space="preserve">مدرب كرة القدم </t>
  </si>
  <si>
    <t>الصفصاف 324</t>
  </si>
  <si>
    <t>براعم الامل</t>
  </si>
  <si>
    <t xml:space="preserve">تاجر </t>
  </si>
  <si>
    <t>حي صوفيا</t>
  </si>
  <si>
    <t>اياد الخليفي</t>
  </si>
  <si>
    <t>طبيب</t>
  </si>
  <si>
    <t>السويهلة</t>
  </si>
  <si>
    <t>اشبال الامل</t>
  </si>
  <si>
    <t>المسيرة 2 بلوك أ رقم 231</t>
  </si>
  <si>
    <t>امجد عمران</t>
  </si>
  <si>
    <t>ممرض</t>
  </si>
  <si>
    <t xml:space="preserve">إقامة عبير 2 حي مبروكة كليز </t>
  </si>
  <si>
    <t>أبواب مراكش العمارة  أ  الشقة 8</t>
  </si>
  <si>
    <t>محاسبة</t>
  </si>
  <si>
    <t>الفضل عمارة م1 رقم 101</t>
  </si>
  <si>
    <t>نور4عمارة 65شقة 6</t>
  </si>
  <si>
    <t>مسيرة 2 إقامة الغالي شقة 28 عمارة 7</t>
  </si>
  <si>
    <t>دركي</t>
  </si>
  <si>
    <t xml:space="preserve">تجزئة المسار طريق اسفي رقم 489 </t>
  </si>
  <si>
    <t>محمد اواب الحاري</t>
  </si>
  <si>
    <t>طبيب بيطري</t>
  </si>
  <si>
    <t>تجزئة رياض جوهر 2 رقم 80 تاركة</t>
  </si>
  <si>
    <t>جنان بويرك</t>
  </si>
  <si>
    <t>مسير</t>
  </si>
  <si>
    <t xml:space="preserve">تجزئة النخيل شقة 170 حي سيدي براهيم </t>
  </si>
  <si>
    <t xml:space="preserve">المسيرة 3 س رقم 312 </t>
  </si>
  <si>
    <t>مدقق مالي</t>
  </si>
  <si>
    <t>450 تجزئة النخيل 1 مراكش</t>
  </si>
  <si>
    <t>الطيب الصديق الازمي</t>
  </si>
  <si>
    <t xml:space="preserve">إقامة اميمة الشقة 9 اسيل </t>
  </si>
  <si>
    <t>اية العلوي</t>
  </si>
  <si>
    <t xml:space="preserve">حي تاركة رقم 702 </t>
  </si>
  <si>
    <t>محمود علي فكري</t>
  </si>
  <si>
    <t>مدير</t>
  </si>
  <si>
    <t>10 إقامة الياسمين حي الشرف</t>
  </si>
  <si>
    <t>منتدب قضائي</t>
  </si>
  <si>
    <t>الحي السكني دار السلام عمارة 3شقة 9</t>
  </si>
  <si>
    <t>كشون جوديا</t>
  </si>
  <si>
    <t>مدير مؤسسة</t>
  </si>
  <si>
    <t>أبواب مراكش س2 الرقم 11</t>
  </si>
  <si>
    <t>رسيل لغوضي</t>
  </si>
  <si>
    <t>زهور تاركة</t>
  </si>
  <si>
    <t>برستيج تاركة عمارة أ شقة22</t>
  </si>
  <si>
    <t>موثق</t>
  </si>
  <si>
    <t>425تجزئة النخيل 01تاركة</t>
  </si>
  <si>
    <t>رقم 06شطر س11 أبواب مراكش</t>
  </si>
  <si>
    <t>نقل البضائع</t>
  </si>
  <si>
    <t>درب المحجوب رقم 186</t>
  </si>
  <si>
    <t>مدير شركة</t>
  </si>
  <si>
    <t>مسيرة 3 رقم س 416</t>
  </si>
  <si>
    <t>اريج اشوال</t>
  </si>
  <si>
    <t xml:space="preserve"> ش المنار  زنقة العراق رقم 95</t>
  </si>
  <si>
    <t>امينة اشاهوض</t>
  </si>
  <si>
    <t xml:space="preserve">ازلي الجنوبي رقم 458 </t>
  </si>
  <si>
    <t>نظاراتي</t>
  </si>
  <si>
    <t>سيدي مبارك 258</t>
  </si>
  <si>
    <t>شهد ابرو</t>
  </si>
  <si>
    <t>الضحى أبواب مراكش المسيرة</t>
  </si>
  <si>
    <t>ادم ايت حجو</t>
  </si>
  <si>
    <t>رويضات رقم 104</t>
  </si>
  <si>
    <t>انس الحاتمي</t>
  </si>
  <si>
    <t>اعمال حرة</t>
  </si>
  <si>
    <t xml:space="preserve">رقم 208  حي تاشفين ازلي </t>
  </si>
  <si>
    <t xml:space="preserve">ايناس حمدان </t>
  </si>
  <si>
    <t>صيدلاني</t>
  </si>
  <si>
    <t>تجزئة المصمودي تاركة رقم 112</t>
  </si>
  <si>
    <t xml:space="preserve">العزوزية رقم 983 </t>
  </si>
  <si>
    <t>مهندس دولة</t>
  </si>
  <si>
    <t>الانارة رقم 29</t>
  </si>
  <si>
    <t xml:space="preserve">مساعدة </t>
  </si>
  <si>
    <t>نور 4 A5 رقم 7 تاركة</t>
  </si>
  <si>
    <t>جهاد بويرك</t>
  </si>
  <si>
    <t>ندى رشدي</t>
  </si>
  <si>
    <t>أبواب مراكش</t>
  </si>
  <si>
    <t>ادم الميداوي</t>
  </si>
  <si>
    <t>متوفى</t>
  </si>
  <si>
    <t xml:space="preserve">حي للاحية المصمودي تاركة 197 </t>
  </si>
  <si>
    <t>ادم قنجاوي</t>
  </si>
  <si>
    <t>تجزئة المسار طريق اسفي رقم 489</t>
  </si>
  <si>
    <t>أريج أشوال</t>
  </si>
  <si>
    <t>حي صوفيا رقم 247 تاركة</t>
  </si>
  <si>
    <t>حي الشرف الطابق 3 رقم 822</t>
  </si>
  <si>
    <t xml:space="preserve">تجزئة زهور تاركة الشطر 7 رقم 80 </t>
  </si>
  <si>
    <t>ام كلثوم حجاوي</t>
  </si>
  <si>
    <t>مظيف طيران</t>
  </si>
  <si>
    <t>الانارة رقم 220 بلوك C9</t>
  </si>
  <si>
    <t>أجيال الامل</t>
  </si>
  <si>
    <t>التجارة</t>
  </si>
  <si>
    <t>إقامة بسمة شقة 207 حي مبروكة</t>
  </si>
  <si>
    <t>انس زويحيل</t>
  </si>
  <si>
    <t>قاضي</t>
  </si>
  <si>
    <t>النخيل 1 تاركة رقم 450</t>
  </si>
  <si>
    <t>حي صوفيا الوردة 64</t>
  </si>
  <si>
    <t>سلمى البلبولي</t>
  </si>
  <si>
    <t>المصمودي تاركة</t>
  </si>
  <si>
    <t xml:space="preserve">حي الشرف إقامة الياسمين 166 </t>
  </si>
  <si>
    <t>المسيرة 1</t>
  </si>
  <si>
    <t>لينة اوبوحسين</t>
  </si>
  <si>
    <t xml:space="preserve">مسؤول </t>
  </si>
  <si>
    <t>نيليا اماني</t>
  </si>
  <si>
    <t>مستخدم بنك</t>
  </si>
  <si>
    <t>إقامة الياسمين 2 فيلا 21 تاركة</t>
  </si>
  <si>
    <t>تجزئة الصفصاف 11</t>
  </si>
  <si>
    <t>يوسف الجمولي</t>
  </si>
  <si>
    <t xml:space="preserve">طبيب عسكري </t>
  </si>
  <si>
    <t xml:space="preserve">تجزئة النخيل 1 رقم 492 تاركة </t>
  </si>
  <si>
    <t>الوفاء رقم 5 /16</t>
  </si>
  <si>
    <t>جريا هبة الله</t>
  </si>
  <si>
    <t>تجزئة النخيل2رقم 315</t>
  </si>
  <si>
    <t xml:space="preserve">المصمودي رقم 197 </t>
  </si>
  <si>
    <t>سلفي أويس</t>
  </si>
  <si>
    <t>أقامة عرصة تاركة ب6</t>
  </si>
  <si>
    <t>حي الزيتزن4 رقم 80</t>
  </si>
  <si>
    <t>سملالية إقامة ريان شقة 16</t>
  </si>
  <si>
    <t>بن سالك أمير</t>
  </si>
  <si>
    <t>إصلاح سيارات</t>
  </si>
  <si>
    <t xml:space="preserve">إقامة الباهية تاركة عمارة 6 </t>
  </si>
  <si>
    <t>رميساء انصالي</t>
  </si>
  <si>
    <t>تقني مختبر</t>
  </si>
  <si>
    <t>رقم  45 نور سكن الشطر2 تاركة</t>
  </si>
  <si>
    <t xml:space="preserve">هتان نصيب </t>
  </si>
  <si>
    <t>35 زهور تاركة الشطر2</t>
  </si>
  <si>
    <t>غيثة المراسني</t>
  </si>
  <si>
    <t>مصرفي</t>
  </si>
  <si>
    <t>رقم 130 زنقة النسيم مبروكة</t>
  </si>
  <si>
    <t>أسيف ب رقم 94 زنقة أبي أيوب أنصاري</t>
  </si>
  <si>
    <t>تاركة الوزيز 399</t>
  </si>
  <si>
    <t>جمارك</t>
  </si>
  <si>
    <t>المسيرة 1 رقم 328</t>
  </si>
  <si>
    <t>خاتم جنات فردوس</t>
  </si>
  <si>
    <t>مسير شركة</t>
  </si>
  <si>
    <t>مسيرة 3 رقم 416س</t>
  </si>
  <si>
    <t>مدير تجاري</t>
  </si>
  <si>
    <t>إقامة نور 4 تاركة</t>
  </si>
  <si>
    <t xml:space="preserve">سفيان بوتزرزيت </t>
  </si>
  <si>
    <t xml:space="preserve">خياط الأفرشة </t>
  </si>
  <si>
    <t xml:space="preserve">873 حي الإنارة </t>
  </si>
  <si>
    <t xml:space="preserve">ياسمين عيشايضلان </t>
  </si>
  <si>
    <t>معلمة</t>
  </si>
  <si>
    <t>حي صوفيا 209</t>
  </si>
  <si>
    <t>تاركة س 21</t>
  </si>
  <si>
    <t>أميرة النعماتي</t>
  </si>
  <si>
    <t>زهور تاركة45</t>
  </si>
  <si>
    <t>آسية إشمض</t>
  </si>
  <si>
    <t>خليفة قائد</t>
  </si>
  <si>
    <t>صوكوما1ةرقم 36</t>
  </si>
  <si>
    <t xml:space="preserve">تاركة 521 </t>
  </si>
  <si>
    <t xml:space="preserve">إيناس كربوز </t>
  </si>
  <si>
    <t>مولدة</t>
  </si>
  <si>
    <t>أبواب مراكش المنطقة 10 عمارة 38ب رقم 13</t>
  </si>
  <si>
    <t>إقامة نور 04 تاركة</t>
  </si>
  <si>
    <t>بساتين جليز عمارة 22 رقم 1</t>
  </si>
  <si>
    <t>أعمال حرة</t>
  </si>
  <si>
    <t>تجزئة زهور تاركة رقم 115</t>
  </si>
  <si>
    <t>مسيرة 1 مراكش</t>
  </si>
  <si>
    <t>اشراق بنعظيم</t>
  </si>
  <si>
    <t>زهور تاركة رقم 8</t>
  </si>
  <si>
    <t>جاد مجدان</t>
  </si>
  <si>
    <t>متقاعد</t>
  </si>
  <si>
    <t>زهور تاركة الشطر 12 رقم 42</t>
  </si>
  <si>
    <t>اليان منوار</t>
  </si>
  <si>
    <t xml:space="preserve">مدير </t>
  </si>
  <si>
    <t>حي الشرطة بلوك 2 رقم 21 الحي الشتوي</t>
  </si>
  <si>
    <t>الأمن</t>
  </si>
  <si>
    <t>تجزئة للا حية تاركة رقم 83</t>
  </si>
  <si>
    <t>الماس المرابطي الفاسي</t>
  </si>
  <si>
    <t>تجزئة النخيل 2 تاركة رقم 842</t>
  </si>
  <si>
    <t>اويس برتوز</t>
  </si>
  <si>
    <t>عامل</t>
  </si>
  <si>
    <t>تجزئة الزرقطوني رقم 1102</t>
  </si>
  <si>
    <t>تاركة إقامة الليمون رقم 10</t>
  </si>
  <si>
    <t>فلاح</t>
  </si>
  <si>
    <t>تجزئة للا حية تاركة رقم 101</t>
  </si>
  <si>
    <t>تجزئة الزيتون تاركة رقم 35</t>
  </si>
  <si>
    <t>الياس مخلص</t>
  </si>
  <si>
    <t>صوفيا الوردة رقم 211 تاركة</t>
  </si>
  <si>
    <t>لينا كاشوري</t>
  </si>
  <si>
    <t xml:space="preserve">أستاذة </t>
  </si>
  <si>
    <t>صوكوما 1 عمارة الاخوين رقم 12 مراكش</t>
  </si>
  <si>
    <t>اليان بدير</t>
  </si>
  <si>
    <t>النخيل تاركة رقم 521</t>
  </si>
  <si>
    <t>المسيرة 3 رقم 21 أ مراكش</t>
  </si>
  <si>
    <t>محمد أمير رميلت</t>
  </si>
  <si>
    <t>أزلي زنقة سطات بلوك 2 رقم 128</t>
  </si>
  <si>
    <t>الاء بنعظيم</t>
  </si>
  <si>
    <t>جنى سنوسي</t>
  </si>
  <si>
    <t>اياد لبي</t>
  </si>
  <si>
    <t>اسكجور تجزئة زكرياء رقم 66</t>
  </si>
  <si>
    <t xml:space="preserve">اسكجور تجزئة زكرياء رقم66 </t>
  </si>
  <si>
    <t>الشرف رقم 415</t>
  </si>
  <si>
    <t>المسيرة 3 حرف أ رقم 523</t>
  </si>
  <si>
    <t>أبواب مراكش عمارة 497 شقة 6</t>
  </si>
  <si>
    <t>مسير مرجان</t>
  </si>
  <si>
    <t>ضحى أبواب مراكش زون 20 عمارة 26/135</t>
  </si>
  <si>
    <t>إبراهيم برادة</t>
  </si>
  <si>
    <t xml:space="preserve">إقامة جنان تاركة رقم 38 </t>
  </si>
  <si>
    <t>عامل نظافة</t>
  </si>
  <si>
    <t>اسكجور المحاميد دوار الكومي</t>
  </si>
  <si>
    <t>حي صوفيا تاركة</t>
  </si>
  <si>
    <t>تجزئة معطى الله 1274 مراكش</t>
  </si>
  <si>
    <t>محمد غالي أحمو</t>
  </si>
  <si>
    <t>مهندس ديكور</t>
  </si>
  <si>
    <t>281 تجزئة صوفيا الوردة</t>
  </si>
  <si>
    <t>الضحى أبواب مراكش المنطقة 19 رقم 9</t>
  </si>
  <si>
    <t>صانع افرشة</t>
  </si>
  <si>
    <t>حي يوسف بن تاشفين 209</t>
  </si>
  <si>
    <t xml:space="preserve">حي مبروكة إقامة عبير </t>
  </si>
  <si>
    <t>مسير سياحي</t>
  </si>
  <si>
    <t>حي مبروكة إقامة ريحانة عمارة ج</t>
  </si>
  <si>
    <t>رجل اعمال</t>
  </si>
  <si>
    <t>تاركة النخيل</t>
  </si>
  <si>
    <t>شارع النور اقامة 11 تاركة</t>
  </si>
  <si>
    <t>تقني</t>
  </si>
  <si>
    <t>إقامة يحيى 2 مبروكة رقم 2</t>
  </si>
  <si>
    <t>اكرم العزيزي الادريسي</t>
  </si>
  <si>
    <t>النخيل 2 رقم 698</t>
  </si>
  <si>
    <t xml:space="preserve">غالي البوزيدي </t>
  </si>
  <si>
    <t xml:space="preserve">إقامة مرجانة فيلا 6 تاركة </t>
  </si>
  <si>
    <t xml:space="preserve">نور 4 تاركة </t>
  </si>
  <si>
    <t>الياس السميج</t>
  </si>
  <si>
    <t>بلبكار 2 الداوديات 285</t>
  </si>
  <si>
    <t>رضا الرحمان  بولحسن</t>
  </si>
  <si>
    <t>حي البهجة رقم 444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</si>
</sst>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00"/>
  </numFmts>
  <fonts count="8">
    <font>
      <sz val="11.0"/>
      <color rgb="FF000000"/>
      <name val="Arial"/>
      <scheme val="minor"/>
    </font>
    <font>
      <b/>
      <sz val="11.0"/>
      <color theme="1"/>
      <name val="Calibri"/>
    </font>
    <font/>
    <font>
      <b/>
      <sz val="14.0"/>
      <color theme="1"/>
      <name val="Calibri"/>
    </font>
    <font>
      <color theme="1"/>
      <name val="Arial"/>
      <scheme val="minor"/>
    </font>
    <font>
      <b/>
      <sz val="11.0"/>
      <color theme="1"/>
      <name val="Arial"/>
    </font>
    <font>
      <b/>
      <sz val="12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0" fontId="1" numFmtId="0" xfId="0" applyAlignment="1" applyBorder="1" applyFont="1">
      <alignment horizontal="center" readingOrder="0"/>
    </xf>
    <xf borderId="5" fillId="3" fontId="1" numFmtId="0" xfId="0" applyAlignment="1" applyBorder="1" applyFill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0" xfId="0" applyAlignment="1" applyBorder="1" applyFont="1">
      <alignment horizontal="center" readingOrder="0" textRotation="90" vertical="center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8" fillId="0" fontId="2" numFmtId="0" xfId="0" applyBorder="1" applyFont="1"/>
    <xf borderId="9" fillId="0" fontId="2" numFmtId="0" xfId="0" applyBorder="1" applyFont="1"/>
    <xf borderId="1" fillId="3" fontId="1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 readingOrder="0" textRotation="90"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4" fillId="0" fontId="1" numFmtId="0" xfId="0" applyAlignment="1" applyBorder="1" applyFont="1">
      <alignment horizontal="center" readingOrder="0" vertical="center"/>
    </xf>
    <xf borderId="4" fillId="4" fontId="1" numFmtId="0" xfId="0" applyAlignment="1" applyBorder="1" applyFill="1" applyFont="1">
      <alignment horizontal="center" readingOrder="0" vertical="center"/>
    </xf>
    <xf borderId="4" fillId="4" fontId="1" numFmtId="0" xfId="0" applyAlignment="1" applyBorder="1" applyFont="1">
      <alignment horizontal="center" readingOrder="0" vertical="center"/>
    </xf>
    <xf borderId="0" fillId="4" fontId="1" numFmtId="0" xfId="0" applyFont="1"/>
    <xf borderId="0" fillId="4" fontId="4" numFmtId="0" xfId="0" applyFont="1"/>
    <xf borderId="11" fillId="3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 textRotation="90" vertical="center"/>
    </xf>
    <xf borderId="4" fillId="0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/>
    </xf>
    <xf borderId="5" fillId="3" fontId="1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 textRotation="0" vertical="center"/>
    </xf>
    <xf borderId="4" fillId="0" fontId="1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readingOrder="0" textRotation="0" vertical="center"/>
    </xf>
    <xf borderId="4" fillId="0" fontId="3" numFmtId="0" xfId="0" applyAlignment="1" applyBorder="1" applyFont="1">
      <alignment horizontal="center" readingOrder="0" textRotation="0" vertical="center"/>
    </xf>
    <xf borderId="11" fillId="3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0" fontId="1" numFmtId="0" xfId="0" applyBorder="1" applyFont="1"/>
    <xf borderId="4" fillId="0" fontId="1" numFmtId="0" xfId="0" applyAlignment="1" applyBorder="1" applyFont="1">
      <alignment readingOrder="0"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4" fillId="0" fontId="1" numFmtId="0" xfId="0" applyAlignment="1" applyBorder="1" applyFont="1">
      <alignment horizontal="right" readingOrder="2"/>
    </xf>
    <xf borderId="0" fillId="0" fontId="4" numFmtId="0" xfId="0" applyAlignment="1" applyFont="1">
      <alignment horizontal="right" readingOrder="2"/>
    </xf>
    <xf borderId="0" fillId="0" fontId="4" numFmtId="0" xfId="0" applyAlignment="1" applyFont="1">
      <alignment horizontal="right" readingOrder="2"/>
    </xf>
    <xf borderId="0" fillId="0" fontId="4" numFmtId="0" xfId="0" applyAlignment="1" applyFont="1">
      <alignment horizontal="right" readingOrder="2"/>
    </xf>
    <xf borderId="4" fillId="0" fontId="6" numFmtId="0" xfId="0" applyAlignment="1" applyBorder="1" applyFont="1">
      <alignment horizontal="center" vertical="bottom"/>
    </xf>
    <xf borderId="4" fillId="5" fontId="1" numFmtId="0" xfId="0" applyAlignment="1" applyBorder="1" applyFill="1" applyFont="1">
      <alignment horizontal="right" vertical="bottom"/>
    </xf>
    <xf borderId="4" fillId="5" fontId="1" numFmtId="0" xfId="0" applyAlignment="1" applyBorder="1" applyFont="1">
      <alignment horizontal="center" vertical="bottom"/>
    </xf>
    <xf borderId="12" fillId="5" fontId="1" numFmtId="164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right" vertical="bottom"/>
    </xf>
    <xf borderId="1" fillId="0" fontId="1" numFmtId="164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5" fontId="7" numFmtId="0" xfId="0" applyAlignment="1" applyBorder="1" applyFont="1">
      <alignment vertical="bottom"/>
    </xf>
    <xf borderId="12" fillId="5" fontId="7" numFmtId="164" xfId="0" applyAlignment="1" applyBorder="1" applyFont="1" applyNumberFormat="1">
      <alignment vertical="bottom"/>
    </xf>
    <xf borderId="12" fillId="5" fontId="1" numFmtId="164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4" fillId="0" fontId="7" numFmtId="0" xfId="0" applyAlignment="1" applyBorder="1" applyFont="1">
      <alignment vertical="bottom"/>
    </xf>
    <xf borderId="1" fillId="0" fontId="7" numFmtId="164" xfId="0" applyAlignment="1" applyBorder="1" applyFont="1" applyNumberFormat="1">
      <alignment vertical="bottom"/>
    </xf>
    <xf borderId="10" fillId="0" fontId="1" numFmtId="0" xfId="0" applyAlignment="1" applyBorder="1" applyFont="1">
      <alignment horizontal="right" vertical="bottom"/>
    </xf>
    <xf borderId="13" fillId="0" fontId="1" numFmtId="164" xfId="0" applyAlignment="1" applyBorder="1" applyFont="1" applyNumberFormat="1">
      <alignment horizontal="center" vertical="bottom"/>
    </xf>
    <xf borderId="10" fillId="0" fontId="1" numFmtId="0" xfId="0" applyAlignment="1" applyBorder="1" applyFont="1">
      <alignment horizontal="center" vertical="bottom"/>
    </xf>
    <xf borderId="14" fillId="5" fontId="1" numFmtId="0" xfId="0" applyAlignment="1" applyBorder="1" applyFont="1">
      <alignment horizontal="right" vertical="bottom"/>
    </xf>
    <xf borderId="15" fillId="5" fontId="1" numFmtId="164" xfId="0" applyAlignment="1" applyBorder="1" applyFont="1" applyNumberFormat="1">
      <alignment horizontal="center" vertical="bottom"/>
    </xf>
    <xf borderId="10" fillId="0" fontId="7" numFmtId="0" xfId="0" applyAlignment="1" applyBorder="1" applyFont="1">
      <alignment vertical="bottom"/>
    </xf>
    <xf borderId="4" fillId="0" fontId="1" numFmtId="164" xfId="0" applyAlignment="1" applyBorder="1" applyFont="1" applyNumberFormat="1">
      <alignment horizontal="center" vertical="bottom"/>
    </xf>
    <xf borderId="8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" width="13.13"/>
    <col customWidth="1" min="3" max="3" width="18.25"/>
    <col customWidth="1" min="4" max="4" width="13.13"/>
    <col customWidth="1" min="5" max="10" width="10.75"/>
    <col customWidth="1" min="11" max="25" width="14.38"/>
  </cols>
  <sheetData>
    <row r="1" ht="31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</row>
    <row r="2" ht="15.0" customHeight="1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  <c r="G2" s="4"/>
      <c r="H2" s="4"/>
      <c r="I2" s="4"/>
      <c r="J2" s="4"/>
    </row>
    <row r="3">
      <c r="A3" s="6" t="s">
        <v>5</v>
      </c>
      <c r="B3" s="7"/>
      <c r="C3" s="7"/>
      <c r="D3" s="8"/>
      <c r="E3" s="4"/>
      <c r="F3" s="4"/>
      <c r="G3" s="4"/>
      <c r="H3" s="4"/>
      <c r="I3" s="4"/>
      <c r="J3" s="4"/>
    </row>
    <row r="4">
      <c r="A4" s="9" t="s">
        <v>6</v>
      </c>
      <c r="B4" s="10">
        <v>1.0</v>
      </c>
      <c r="C4" s="11" t="s">
        <v>7</v>
      </c>
      <c r="D4" s="10">
        <v>3.0</v>
      </c>
      <c r="E4" s="4"/>
      <c r="F4" s="4"/>
      <c r="G4" s="4"/>
      <c r="H4" s="4"/>
      <c r="I4" s="4"/>
      <c r="J4" s="4"/>
    </row>
    <row r="5">
      <c r="A5" s="12"/>
      <c r="B5" s="10">
        <v>2.0</v>
      </c>
      <c r="C5" s="5" t="s">
        <v>8</v>
      </c>
      <c r="D5" s="10">
        <v>3.0</v>
      </c>
      <c r="E5" s="4"/>
      <c r="F5" s="4"/>
      <c r="G5" s="4"/>
      <c r="H5" s="4"/>
      <c r="I5" s="4"/>
      <c r="J5" s="4"/>
    </row>
    <row r="6">
      <c r="A6" s="12"/>
      <c r="B6" s="10">
        <v>3.0</v>
      </c>
      <c r="C6" s="5" t="s">
        <v>9</v>
      </c>
      <c r="D6" s="10">
        <v>3.0</v>
      </c>
      <c r="E6" s="4"/>
      <c r="F6" s="4"/>
      <c r="G6" s="4"/>
      <c r="H6" s="4"/>
      <c r="I6" s="4"/>
      <c r="J6" s="4"/>
    </row>
    <row r="7">
      <c r="A7" s="12"/>
      <c r="B7" s="10">
        <v>4.0</v>
      </c>
      <c r="C7" s="5" t="s">
        <v>10</v>
      </c>
      <c r="D7" s="10">
        <v>3.0</v>
      </c>
      <c r="E7" s="4"/>
      <c r="F7" s="4"/>
      <c r="G7" s="4"/>
      <c r="H7" s="4"/>
      <c r="I7" s="4"/>
      <c r="J7" s="4"/>
    </row>
    <row r="8">
      <c r="A8" s="12"/>
      <c r="B8" s="10">
        <v>5.0</v>
      </c>
      <c r="C8" s="11" t="s">
        <v>11</v>
      </c>
      <c r="D8" s="10">
        <v>3.0</v>
      </c>
      <c r="E8" s="4"/>
      <c r="F8" s="4"/>
      <c r="G8" s="4"/>
      <c r="H8" s="4"/>
      <c r="I8" s="4"/>
      <c r="J8" s="4"/>
    </row>
    <row r="9">
      <c r="A9" s="12"/>
      <c r="B9" s="10">
        <v>6.0</v>
      </c>
      <c r="C9" s="11" t="s">
        <v>12</v>
      </c>
      <c r="D9" s="10">
        <v>3.0</v>
      </c>
      <c r="E9" s="4"/>
      <c r="F9" s="4"/>
      <c r="G9" s="4"/>
      <c r="H9" s="4"/>
      <c r="I9" s="4"/>
      <c r="J9" s="4"/>
    </row>
    <row r="10">
      <c r="A10" s="12"/>
      <c r="B10" s="10">
        <v>7.0</v>
      </c>
      <c r="C10" s="5" t="s">
        <v>13</v>
      </c>
      <c r="D10" s="10">
        <v>3.0</v>
      </c>
      <c r="E10" s="4"/>
      <c r="F10" s="4"/>
      <c r="G10" s="4"/>
      <c r="H10" s="4"/>
      <c r="I10" s="4"/>
      <c r="J10" s="4"/>
    </row>
    <row r="11">
      <c r="A11" s="12"/>
      <c r="B11" s="10">
        <v>8.0</v>
      </c>
      <c r="C11" s="5" t="s">
        <v>14</v>
      </c>
      <c r="D11" s="10">
        <v>3.0</v>
      </c>
      <c r="E11" s="4"/>
      <c r="F11" s="4"/>
      <c r="G11" s="4"/>
      <c r="H11" s="4"/>
      <c r="I11" s="4"/>
      <c r="J11" s="4"/>
    </row>
    <row r="12">
      <c r="A12" s="12"/>
      <c r="B12" s="10">
        <v>9.0</v>
      </c>
      <c r="C12" s="5" t="s">
        <v>15</v>
      </c>
      <c r="D12" s="10">
        <v>3.0</v>
      </c>
      <c r="E12" s="4"/>
      <c r="F12" s="4"/>
      <c r="G12" s="4"/>
      <c r="H12" s="4"/>
      <c r="I12" s="4"/>
      <c r="J12" s="4"/>
    </row>
    <row r="13">
      <c r="A13" s="12"/>
      <c r="B13" s="10">
        <v>10.0</v>
      </c>
      <c r="C13" s="5" t="s">
        <v>16</v>
      </c>
      <c r="D13" s="10">
        <v>3.0</v>
      </c>
      <c r="E13" s="4"/>
      <c r="F13" s="4"/>
      <c r="G13" s="4"/>
      <c r="H13" s="4"/>
      <c r="I13" s="4"/>
      <c r="J13" s="4"/>
    </row>
    <row r="14">
      <c r="A14" s="12"/>
      <c r="B14" s="10">
        <v>11.0</v>
      </c>
      <c r="C14" s="11" t="s">
        <v>17</v>
      </c>
      <c r="D14" s="10">
        <v>3.0</v>
      </c>
      <c r="E14" s="4"/>
      <c r="F14" s="4"/>
      <c r="G14" s="4"/>
      <c r="H14" s="4"/>
      <c r="I14" s="4"/>
      <c r="J14" s="4"/>
    </row>
    <row r="15">
      <c r="A15" s="12"/>
      <c r="B15" s="10">
        <v>12.0</v>
      </c>
      <c r="C15" s="5" t="s">
        <v>18</v>
      </c>
      <c r="D15" s="10">
        <v>3.0</v>
      </c>
      <c r="E15" s="4"/>
      <c r="F15" s="4"/>
      <c r="G15" s="4"/>
      <c r="H15" s="4"/>
      <c r="I15" s="4"/>
      <c r="J15" s="4"/>
    </row>
    <row r="16">
      <c r="A16" s="12"/>
      <c r="B16" s="10">
        <v>13.0</v>
      </c>
      <c r="C16" s="5" t="s">
        <v>19</v>
      </c>
      <c r="D16" s="10">
        <v>3.0</v>
      </c>
      <c r="E16" s="4"/>
      <c r="F16" s="4"/>
      <c r="G16" s="4"/>
      <c r="H16" s="4"/>
      <c r="I16" s="4"/>
      <c r="J16" s="4"/>
    </row>
    <row r="17">
      <c r="A17" s="12"/>
      <c r="B17" s="10">
        <v>14.0</v>
      </c>
      <c r="C17" s="11" t="s">
        <v>20</v>
      </c>
      <c r="D17" s="10">
        <v>3.0</v>
      </c>
      <c r="E17" s="4"/>
      <c r="F17" s="4"/>
      <c r="G17" s="4"/>
      <c r="H17" s="4"/>
      <c r="I17" s="4"/>
      <c r="J17" s="4"/>
    </row>
    <row r="18">
      <c r="A18" s="6" t="s">
        <v>21</v>
      </c>
      <c r="B18" s="7"/>
      <c r="C18" s="7"/>
      <c r="D18" s="8"/>
      <c r="E18" s="4"/>
      <c r="F18" s="4"/>
      <c r="G18" s="4"/>
      <c r="H18" s="4"/>
      <c r="I18" s="4"/>
      <c r="J18" s="4"/>
    </row>
    <row r="19" ht="18.75" customHeight="1">
      <c r="A19" s="9" t="s">
        <v>22</v>
      </c>
      <c r="B19" s="10">
        <v>15.0</v>
      </c>
      <c r="C19" s="11" t="s">
        <v>23</v>
      </c>
      <c r="D19" s="10">
        <v>5.0</v>
      </c>
      <c r="E19" s="4"/>
      <c r="F19" s="4"/>
      <c r="G19" s="4"/>
      <c r="H19" s="4"/>
      <c r="I19" s="4"/>
      <c r="J19" s="4"/>
    </row>
    <row r="20" ht="18.75" customHeight="1">
      <c r="A20" s="12"/>
      <c r="B20" s="10">
        <v>16.0</v>
      </c>
      <c r="C20" s="5" t="s">
        <v>24</v>
      </c>
      <c r="D20" s="10">
        <v>5.0</v>
      </c>
      <c r="E20" s="4"/>
      <c r="F20" s="4"/>
      <c r="G20" s="4"/>
      <c r="H20" s="4"/>
      <c r="I20" s="4"/>
      <c r="J20" s="4"/>
    </row>
    <row r="21" ht="18.75" customHeight="1">
      <c r="A21" s="12"/>
      <c r="B21" s="10">
        <v>17.0</v>
      </c>
      <c r="C21" s="5" t="s">
        <v>25</v>
      </c>
      <c r="D21" s="10">
        <v>5.0</v>
      </c>
      <c r="E21" s="4"/>
      <c r="F21" s="4"/>
      <c r="G21" s="4"/>
      <c r="H21" s="4"/>
      <c r="I21" s="4"/>
      <c r="J21" s="4"/>
    </row>
    <row r="22" ht="18.75" customHeight="1">
      <c r="A22" s="12"/>
      <c r="B22" s="10">
        <v>18.0</v>
      </c>
      <c r="C22" s="11" t="s">
        <v>26</v>
      </c>
      <c r="D22" s="10">
        <v>5.0</v>
      </c>
      <c r="E22" s="4"/>
      <c r="F22" s="4"/>
      <c r="G22" s="4"/>
      <c r="H22" s="4"/>
      <c r="I22" s="4"/>
      <c r="J22" s="4"/>
    </row>
    <row r="23" ht="18.75" customHeight="1">
      <c r="A23" s="12"/>
      <c r="B23" s="10">
        <v>19.0</v>
      </c>
      <c r="C23" s="11" t="s">
        <v>27</v>
      </c>
      <c r="D23" s="10">
        <v>5.0</v>
      </c>
      <c r="E23" s="4"/>
      <c r="F23" s="4"/>
      <c r="G23" s="4"/>
      <c r="H23" s="4"/>
      <c r="I23" s="4"/>
      <c r="J23" s="4"/>
    </row>
    <row r="24" ht="18.75" customHeight="1">
      <c r="A24" s="12"/>
      <c r="B24" s="10">
        <v>20.0</v>
      </c>
      <c r="C24" s="11" t="s">
        <v>28</v>
      </c>
      <c r="D24" s="10">
        <v>5.0</v>
      </c>
      <c r="E24" s="4"/>
      <c r="F24" s="4"/>
      <c r="G24" s="4"/>
      <c r="H24" s="4"/>
      <c r="I24" s="4"/>
      <c r="J24" s="4"/>
    </row>
    <row r="25" ht="18.75" customHeight="1">
      <c r="A25" s="12"/>
      <c r="B25" s="10">
        <v>21.0</v>
      </c>
      <c r="C25" s="5" t="s">
        <v>29</v>
      </c>
      <c r="D25" s="10">
        <v>5.0</v>
      </c>
      <c r="E25" s="4"/>
      <c r="F25" s="4"/>
      <c r="G25" s="4"/>
      <c r="H25" s="4"/>
      <c r="I25" s="4"/>
      <c r="J25" s="4"/>
    </row>
    <row r="26" ht="18.75" customHeight="1">
      <c r="A26" s="12"/>
      <c r="B26" s="10">
        <v>22.0</v>
      </c>
      <c r="C26" s="11" t="s">
        <v>30</v>
      </c>
      <c r="D26" s="10">
        <v>5.0</v>
      </c>
      <c r="E26" s="4"/>
      <c r="F26" s="4"/>
      <c r="G26" s="4"/>
      <c r="H26" s="4"/>
      <c r="I26" s="4"/>
      <c r="J26" s="4"/>
    </row>
    <row r="27" ht="18.75" customHeight="1">
      <c r="A27" s="13"/>
      <c r="B27" s="10">
        <v>23.0</v>
      </c>
      <c r="C27" s="5" t="s">
        <v>31</v>
      </c>
      <c r="D27" s="10">
        <v>5.0</v>
      </c>
      <c r="E27" s="4"/>
      <c r="F27" s="4"/>
      <c r="G27" s="4"/>
      <c r="H27" s="4"/>
      <c r="I27" s="4"/>
      <c r="J27" s="4"/>
    </row>
    <row r="28" ht="15.75" customHeight="1">
      <c r="A28" s="14" t="s">
        <v>32</v>
      </c>
      <c r="B28" s="2"/>
      <c r="C28" s="2"/>
      <c r="D28" s="3"/>
      <c r="E28" s="4"/>
      <c r="F28" s="4"/>
      <c r="G28" s="4"/>
      <c r="H28" s="4"/>
      <c r="I28" s="4"/>
      <c r="J28" s="4"/>
    </row>
    <row r="29" ht="29.25" customHeight="1">
      <c r="A29" s="15" t="s">
        <v>33</v>
      </c>
      <c r="B29" s="16">
        <v>24.0</v>
      </c>
      <c r="C29" s="17" t="s">
        <v>34</v>
      </c>
      <c r="D29" s="16">
        <v>6.0</v>
      </c>
      <c r="E29" s="18"/>
      <c r="F29" s="18"/>
      <c r="G29" s="18"/>
      <c r="H29" s="18"/>
      <c r="I29" s="18"/>
      <c r="J29" s="18"/>
    </row>
    <row r="30" ht="29.25" customHeight="1">
      <c r="A30" s="12"/>
      <c r="B30" s="16">
        <v>25.0</v>
      </c>
      <c r="C30" s="19" t="s">
        <v>35</v>
      </c>
      <c r="D30" s="16">
        <v>6.0</v>
      </c>
      <c r="E30" s="18"/>
      <c r="F30" s="18"/>
      <c r="G30" s="18"/>
      <c r="H30" s="18"/>
      <c r="I30" s="18"/>
      <c r="J30" s="18"/>
    </row>
    <row r="31" ht="29.25" customHeight="1">
      <c r="A31" s="12"/>
      <c r="B31" s="16">
        <v>26.0</v>
      </c>
      <c r="C31" s="19" t="s">
        <v>36</v>
      </c>
      <c r="D31" s="16">
        <v>6.0</v>
      </c>
      <c r="E31" s="18"/>
      <c r="F31" s="18"/>
      <c r="G31" s="18"/>
      <c r="H31" s="18"/>
      <c r="I31" s="18"/>
      <c r="J31" s="18"/>
    </row>
    <row r="32" ht="29.25" customHeight="1">
      <c r="A32" s="12"/>
      <c r="B32" s="16">
        <v>27.0</v>
      </c>
      <c r="C32" s="17" t="s">
        <v>37</v>
      </c>
      <c r="D32" s="16">
        <v>6.0</v>
      </c>
      <c r="E32" s="18"/>
      <c r="F32" s="18"/>
      <c r="G32" s="18"/>
      <c r="H32" s="18"/>
      <c r="I32" s="18"/>
      <c r="J32" s="18"/>
    </row>
    <row r="33" ht="29.25" customHeight="1">
      <c r="A33" s="12"/>
      <c r="B33" s="16">
        <v>28.0</v>
      </c>
      <c r="C33" s="17" t="s">
        <v>38</v>
      </c>
      <c r="D33" s="16">
        <v>6.0</v>
      </c>
      <c r="E33" s="18"/>
      <c r="F33" s="18"/>
      <c r="G33" s="18"/>
      <c r="H33" s="18"/>
      <c r="I33" s="18"/>
      <c r="J33" s="18"/>
    </row>
    <row r="34" ht="29.25" customHeight="1">
      <c r="A34" s="12"/>
      <c r="B34" s="16">
        <v>29.0</v>
      </c>
      <c r="C34" s="19" t="s">
        <v>39</v>
      </c>
      <c r="D34" s="16">
        <v>6.0</v>
      </c>
      <c r="E34" s="18"/>
      <c r="F34" s="18"/>
      <c r="G34" s="18"/>
      <c r="H34" s="18"/>
      <c r="I34" s="18"/>
      <c r="J34" s="18"/>
    </row>
    <row r="35" ht="29.25" customHeight="1">
      <c r="A35" s="13"/>
      <c r="B35" s="16">
        <v>30.0</v>
      </c>
      <c r="C35" s="17" t="s">
        <v>40</v>
      </c>
      <c r="D35" s="16">
        <v>6.0</v>
      </c>
      <c r="E35" s="18"/>
      <c r="F35" s="18"/>
      <c r="G35" s="18"/>
      <c r="H35" s="18"/>
      <c r="I35" s="18"/>
      <c r="J35" s="18"/>
    </row>
    <row r="36" ht="15.75" customHeight="1">
      <c r="A36" s="14" t="s">
        <v>41</v>
      </c>
      <c r="B36" s="2"/>
      <c r="C36" s="2"/>
      <c r="D36" s="3"/>
      <c r="E36" s="4"/>
      <c r="F36" s="4"/>
      <c r="G36" s="4"/>
      <c r="H36" s="4"/>
      <c r="I36" s="4"/>
      <c r="J36" s="4"/>
    </row>
    <row r="37" ht="19.5" customHeight="1">
      <c r="A37" s="15" t="s">
        <v>42</v>
      </c>
      <c r="B37" s="10">
        <v>31.0</v>
      </c>
      <c r="C37" s="5" t="s">
        <v>43</v>
      </c>
      <c r="D37" s="10">
        <v>1.0</v>
      </c>
      <c r="E37" s="4"/>
      <c r="F37" s="4"/>
      <c r="G37" s="4"/>
      <c r="H37" s="4"/>
      <c r="I37" s="4"/>
      <c r="J37" s="4"/>
    </row>
    <row r="38" ht="19.5" customHeight="1">
      <c r="A38" s="12"/>
      <c r="B38" s="10">
        <v>32.0</v>
      </c>
      <c r="C38" s="5" t="s">
        <v>44</v>
      </c>
      <c r="D38" s="10">
        <v>1.0</v>
      </c>
      <c r="E38" s="4"/>
      <c r="F38" s="4"/>
      <c r="G38" s="4"/>
      <c r="H38" s="4"/>
      <c r="I38" s="4"/>
      <c r="J38" s="4"/>
    </row>
    <row r="39" ht="19.5" customHeight="1">
      <c r="A39" s="12"/>
      <c r="B39" s="10">
        <v>33.0</v>
      </c>
      <c r="C39" s="5" t="s">
        <v>45</v>
      </c>
      <c r="D39" s="10">
        <v>1.0</v>
      </c>
      <c r="E39" s="4"/>
      <c r="F39" s="4"/>
      <c r="G39" s="4"/>
      <c r="H39" s="4"/>
      <c r="I39" s="4"/>
      <c r="J39" s="4"/>
    </row>
    <row r="40" ht="19.5" customHeight="1">
      <c r="A40" s="12"/>
      <c r="B40" s="10">
        <v>34.0</v>
      </c>
      <c r="C40" s="5" t="s">
        <v>46</v>
      </c>
      <c r="D40" s="10">
        <v>1.0</v>
      </c>
      <c r="E40" s="4"/>
      <c r="F40" s="4"/>
      <c r="G40" s="4"/>
      <c r="H40" s="4"/>
      <c r="I40" s="4"/>
      <c r="J40" s="4"/>
    </row>
    <row r="41" ht="19.5" customHeight="1">
      <c r="A41" s="12"/>
      <c r="B41" s="10">
        <v>35.0</v>
      </c>
      <c r="C41" s="5" t="s">
        <v>47</v>
      </c>
      <c r="D41" s="10">
        <v>1.0</v>
      </c>
      <c r="E41" s="4"/>
      <c r="F41" s="4"/>
      <c r="G41" s="4"/>
      <c r="H41" s="4"/>
      <c r="I41" s="4"/>
      <c r="J41" s="4"/>
    </row>
    <row r="42" ht="19.5" customHeight="1">
      <c r="A42" s="12"/>
      <c r="B42" s="10">
        <v>36.0</v>
      </c>
      <c r="C42" s="5" t="s">
        <v>48</v>
      </c>
      <c r="D42" s="10">
        <v>1.0</v>
      </c>
      <c r="E42" s="4"/>
      <c r="F42" s="4"/>
      <c r="G42" s="4"/>
      <c r="H42" s="4"/>
      <c r="I42" s="4"/>
      <c r="J42" s="4"/>
    </row>
    <row r="43" ht="19.5" customHeight="1">
      <c r="A43" s="12"/>
      <c r="B43" s="10">
        <v>37.0</v>
      </c>
      <c r="C43" s="5" t="s">
        <v>49</v>
      </c>
      <c r="D43" s="10">
        <v>1.0</v>
      </c>
      <c r="E43" s="4"/>
      <c r="F43" s="4"/>
      <c r="G43" s="4"/>
      <c r="H43" s="4"/>
      <c r="I43" s="4"/>
      <c r="J43" s="4"/>
    </row>
    <row r="44" ht="19.5" customHeight="1">
      <c r="A44" s="12"/>
      <c r="B44" s="10">
        <v>38.0</v>
      </c>
      <c r="C44" s="5" t="s">
        <v>50</v>
      </c>
      <c r="D44" s="10">
        <v>1.0</v>
      </c>
      <c r="E44" s="4"/>
      <c r="F44" s="4"/>
      <c r="G44" s="4"/>
      <c r="H44" s="4"/>
      <c r="I44" s="4"/>
      <c r="J44" s="4"/>
    </row>
    <row r="45" ht="19.5" customHeight="1">
      <c r="A45" s="13"/>
      <c r="B45" s="10">
        <v>39.0</v>
      </c>
      <c r="C45" s="5" t="s">
        <v>51</v>
      </c>
      <c r="D45" s="10">
        <v>1.0</v>
      </c>
      <c r="E45" s="4"/>
      <c r="F45" s="4"/>
      <c r="G45" s="4"/>
      <c r="H45" s="4"/>
      <c r="I45" s="4"/>
      <c r="J45" s="4"/>
    </row>
    <row r="46" ht="15.75" customHeight="1">
      <c r="A46" s="14" t="s">
        <v>52</v>
      </c>
      <c r="B46" s="2"/>
      <c r="C46" s="2"/>
      <c r="D46" s="3"/>
      <c r="E46" s="4"/>
      <c r="F46" s="4"/>
      <c r="G46" s="4"/>
      <c r="H46" s="4"/>
      <c r="I46" s="4"/>
      <c r="J46" s="4"/>
    </row>
    <row r="47" ht="18.0" customHeight="1">
      <c r="A47" s="15" t="s">
        <v>53</v>
      </c>
      <c r="B47" s="10">
        <v>40.0</v>
      </c>
      <c r="C47" s="11" t="s">
        <v>54</v>
      </c>
      <c r="D47" s="10">
        <v>2.0</v>
      </c>
      <c r="E47" s="4"/>
      <c r="F47" s="4"/>
      <c r="G47" s="4"/>
      <c r="H47" s="4"/>
      <c r="I47" s="4"/>
      <c r="J47" s="4"/>
    </row>
    <row r="48" ht="18.0" customHeight="1">
      <c r="A48" s="12"/>
      <c r="B48" s="10">
        <v>41.0</v>
      </c>
      <c r="C48" s="11" t="s">
        <v>55</v>
      </c>
      <c r="D48" s="10">
        <v>2.0</v>
      </c>
      <c r="E48" s="4"/>
      <c r="F48" s="4"/>
      <c r="G48" s="4"/>
      <c r="H48" s="4"/>
      <c r="I48" s="4"/>
      <c r="J48" s="4"/>
    </row>
    <row r="49" ht="18.0" customHeight="1">
      <c r="A49" s="12"/>
      <c r="B49" s="10">
        <v>42.0</v>
      </c>
      <c r="C49" s="5" t="s">
        <v>56</v>
      </c>
      <c r="D49" s="10">
        <v>2.0</v>
      </c>
      <c r="E49" s="4"/>
      <c r="F49" s="4"/>
      <c r="G49" s="4"/>
      <c r="H49" s="4"/>
      <c r="I49" s="4"/>
      <c r="J49" s="4"/>
    </row>
    <row r="50" ht="18.0" customHeight="1">
      <c r="A50" s="12"/>
      <c r="B50" s="10">
        <v>43.0</v>
      </c>
      <c r="C50" s="5" t="s">
        <v>57</v>
      </c>
      <c r="D50" s="10">
        <v>2.0</v>
      </c>
      <c r="E50" s="4"/>
      <c r="F50" s="4"/>
      <c r="G50" s="4"/>
      <c r="H50" s="4"/>
      <c r="I50" s="4"/>
      <c r="J50" s="4"/>
    </row>
    <row r="51" ht="18.0" customHeight="1">
      <c r="A51" s="12"/>
      <c r="B51" s="10">
        <v>44.0</v>
      </c>
      <c r="C51" s="5" t="s">
        <v>58</v>
      </c>
      <c r="D51" s="10">
        <v>2.0</v>
      </c>
      <c r="E51" s="4"/>
      <c r="F51" s="4"/>
      <c r="G51" s="4"/>
      <c r="H51" s="4"/>
      <c r="I51" s="4"/>
      <c r="J51" s="4"/>
    </row>
    <row r="52" ht="18.0" customHeight="1">
      <c r="A52" s="12"/>
      <c r="B52" s="10">
        <v>45.0</v>
      </c>
      <c r="C52" s="5" t="s">
        <v>59</v>
      </c>
      <c r="D52" s="10">
        <v>2.0</v>
      </c>
      <c r="E52" s="4"/>
      <c r="F52" s="4"/>
      <c r="G52" s="4"/>
      <c r="H52" s="4"/>
      <c r="I52" s="4"/>
      <c r="J52" s="4"/>
    </row>
    <row r="53" ht="18.0" customHeight="1">
      <c r="A53" s="12"/>
      <c r="B53" s="10">
        <v>46.0</v>
      </c>
      <c r="C53" s="11" t="s">
        <v>60</v>
      </c>
      <c r="D53" s="10">
        <v>2.0</v>
      </c>
      <c r="E53" s="4"/>
      <c r="F53" s="4"/>
      <c r="G53" s="4"/>
      <c r="H53" s="4"/>
      <c r="I53" s="4"/>
      <c r="J53" s="4"/>
    </row>
    <row r="54" ht="18.0" customHeight="1">
      <c r="A54" s="12"/>
      <c r="B54" s="10">
        <v>47.0</v>
      </c>
      <c r="C54" s="5" t="s">
        <v>61</v>
      </c>
      <c r="D54" s="10">
        <v>2.0</v>
      </c>
      <c r="E54" s="4"/>
      <c r="F54" s="4"/>
      <c r="G54" s="4"/>
      <c r="H54" s="4"/>
      <c r="I54" s="4"/>
      <c r="J54" s="4"/>
    </row>
    <row r="55" ht="18.0" customHeight="1">
      <c r="A55" s="12"/>
      <c r="B55" s="10">
        <v>48.0</v>
      </c>
      <c r="C55" s="5" t="s">
        <v>62</v>
      </c>
      <c r="D55" s="10">
        <v>2.0</v>
      </c>
      <c r="E55" s="4"/>
      <c r="F55" s="4"/>
      <c r="G55" s="4"/>
      <c r="H55" s="4"/>
      <c r="I55" s="4"/>
      <c r="J55" s="4"/>
    </row>
    <row r="56" ht="18.0" customHeight="1">
      <c r="A56" s="13"/>
      <c r="B56" s="10">
        <v>49.0</v>
      </c>
      <c r="C56" s="11" t="s">
        <v>63</v>
      </c>
      <c r="D56" s="10">
        <v>2.0</v>
      </c>
      <c r="E56" s="4"/>
      <c r="F56" s="4"/>
      <c r="G56" s="4"/>
      <c r="H56" s="4"/>
      <c r="I56" s="4"/>
      <c r="J56" s="4"/>
    </row>
    <row r="57" ht="15.75" customHeight="1">
      <c r="A57" s="14" t="s">
        <v>64</v>
      </c>
      <c r="B57" s="2"/>
      <c r="C57" s="2"/>
      <c r="D57" s="3"/>
      <c r="E57" s="4"/>
      <c r="F57" s="4"/>
      <c r="G57" s="4"/>
      <c r="H57" s="4"/>
      <c r="I57" s="4"/>
      <c r="J57" s="4"/>
    </row>
    <row r="58" ht="25.5" customHeight="1">
      <c r="A58" s="15" t="s">
        <v>65</v>
      </c>
      <c r="B58" s="10">
        <v>50.0</v>
      </c>
      <c r="C58" s="11" t="s">
        <v>66</v>
      </c>
      <c r="D58" s="10">
        <v>4.0</v>
      </c>
      <c r="E58" s="4"/>
      <c r="F58" s="4"/>
      <c r="G58" s="4"/>
      <c r="H58" s="4"/>
      <c r="I58" s="4"/>
      <c r="J58" s="4"/>
    </row>
    <row r="59" ht="25.5" customHeight="1">
      <c r="A59" s="12"/>
      <c r="B59" s="10">
        <v>51.0</v>
      </c>
      <c r="C59" s="11" t="s">
        <v>67</v>
      </c>
      <c r="D59" s="10">
        <v>4.0</v>
      </c>
      <c r="E59" s="4"/>
      <c r="F59" s="4"/>
      <c r="G59" s="4"/>
      <c r="H59" s="4"/>
      <c r="I59" s="4"/>
      <c r="J59" s="4"/>
    </row>
    <row r="60" ht="25.5" customHeight="1">
      <c r="A60" s="12"/>
      <c r="B60" s="10">
        <v>52.0</v>
      </c>
      <c r="C60" s="5" t="s">
        <v>68</v>
      </c>
      <c r="D60" s="10">
        <v>4.0</v>
      </c>
      <c r="E60" s="4"/>
      <c r="F60" s="4"/>
      <c r="G60" s="4"/>
      <c r="H60" s="4"/>
      <c r="I60" s="4"/>
      <c r="J60" s="4"/>
    </row>
    <row r="61" ht="25.5" customHeight="1">
      <c r="A61" s="12"/>
      <c r="B61" s="10">
        <v>53.0</v>
      </c>
      <c r="C61" s="11" t="s">
        <v>69</v>
      </c>
      <c r="D61" s="10">
        <v>4.0</v>
      </c>
      <c r="E61" s="4"/>
      <c r="F61" s="4"/>
      <c r="G61" s="4"/>
      <c r="H61" s="4"/>
      <c r="I61" s="4"/>
      <c r="J61" s="4"/>
    </row>
    <row r="62" ht="25.5" customHeight="1">
      <c r="A62" s="13"/>
      <c r="B62" s="10">
        <v>54.0</v>
      </c>
      <c r="C62" s="11" t="s">
        <v>70</v>
      </c>
      <c r="D62" s="10">
        <v>4.0</v>
      </c>
      <c r="E62" s="4"/>
      <c r="F62" s="4"/>
      <c r="G62" s="4"/>
      <c r="H62" s="4"/>
      <c r="I62" s="4"/>
      <c r="J62" s="4"/>
    </row>
    <row r="63" ht="25.5" customHeight="1">
      <c r="A63" s="20"/>
      <c r="B63" s="21">
        <v>55.0</v>
      </c>
      <c r="C63" s="11" t="s">
        <v>71</v>
      </c>
      <c r="D63" s="21">
        <v>4.0</v>
      </c>
      <c r="E63" s="22"/>
      <c r="F63" s="22"/>
      <c r="G63" s="22"/>
      <c r="H63" s="22"/>
      <c r="I63" s="22"/>
      <c r="J63" s="22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ht="25.5" customHeight="1">
      <c r="A64" s="1" t="s">
        <v>72</v>
      </c>
      <c r="B64" s="2"/>
      <c r="C64" s="2"/>
      <c r="D64" s="3"/>
      <c r="E64" s="4"/>
      <c r="F64" s="4"/>
      <c r="G64" s="4"/>
      <c r="H64" s="4"/>
      <c r="I64" s="4"/>
      <c r="J64" s="4"/>
    </row>
    <row r="65" ht="15.75" customHeight="1">
      <c r="A65" s="24" t="s">
        <v>73</v>
      </c>
      <c r="B65" s="2"/>
      <c r="C65" s="2"/>
      <c r="D65" s="2"/>
      <c r="E65" s="4"/>
      <c r="F65" s="4"/>
      <c r="G65" s="4"/>
      <c r="H65" s="4"/>
      <c r="I65" s="4"/>
      <c r="J65" s="4"/>
    </row>
    <row r="66" ht="19.5" customHeight="1">
      <c r="A66" s="15" t="s">
        <v>74</v>
      </c>
      <c r="B66" s="25">
        <v>56.0</v>
      </c>
      <c r="C66" s="11" t="s">
        <v>75</v>
      </c>
      <c r="D66" s="10">
        <v>3.0</v>
      </c>
      <c r="E66" s="4"/>
      <c r="F66" s="4"/>
      <c r="G66" s="4"/>
      <c r="H66" s="4"/>
      <c r="I66" s="4"/>
      <c r="J66" s="4"/>
    </row>
    <row r="67" ht="19.5" customHeight="1">
      <c r="A67" s="12"/>
      <c r="B67" s="25">
        <v>57.0</v>
      </c>
      <c r="C67" s="11" t="s">
        <v>76</v>
      </c>
      <c r="D67" s="10">
        <v>3.0</v>
      </c>
      <c r="E67" s="4"/>
      <c r="F67" s="4"/>
      <c r="G67" s="4"/>
      <c r="H67" s="4"/>
      <c r="I67" s="4"/>
      <c r="J67" s="4"/>
    </row>
    <row r="68" ht="19.5" customHeight="1">
      <c r="A68" s="12"/>
      <c r="B68" s="25">
        <v>58.0</v>
      </c>
      <c r="C68" s="11" t="s">
        <v>77</v>
      </c>
      <c r="D68" s="10">
        <v>3.0</v>
      </c>
      <c r="E68" s="4"/>
      <c r="F68" s="4"/>
      <c r="G68" s="4"/>
      <c r="H68" s="4"/>
      <c r="I68" s="4"/>
      <c r="J68" s="4"/>
    </row>
    <row r="69" ht="19.5" customHeight="1">
      <c r="A69" s="12"/>
      <c r="B69" s="25">
        <v>59.0</v>
      </c>
      <c r="C69" s="5" t="s">
        <v>78</v>
      </c>
      <c r="D69" s="10">
        <v>3.0</v>
      </c>
      <c r="E69" s="4"/>
      <c r="F69" s="4"/>
      <c r="G69" s="4"/>
      <c r="H69" s="4"/>
      <c r="I69" s="4"/>
      <c r="J69" s="4"/>
    </row>
    <row r="70" ht="19.5" customHeight="1">
      <c r="A70" s="12"/>
      <c r="B70" s="25">
        <v>60.0</v>
      </c>
      <c r="C70" s="5" t="s">
        <v>79</v>
      </c>
      <c r="D70" s="10">
        <v>3.0</v>
      </c>
      <c r="E70" s="4"/>
      <c r="F70" s="4"/>
      <c r="G70" s="4"/>
      <c r="H70" s="4"/>
      <c r="I70" s="4"/>
      <c r="J70" s="4"/>
    </row>
    <row r="71" ht="19.5" customHeight="1">
      <c r="A71" s="12"/>
      <c r="B71" s="25">
        <v>61.0</v>
      </c>
      <c r="C71" s="5" t="s">
        <v>80</v>
      </c>
      <c r="D71" s="10">
        <v>3.0</v>
      </c>
      <c r="E71" s="4"/>
      <c r="F71" s="4"/>
      <c r="G71" s="4"/>
      <c r="H71" s="4"/>
      <c r="I71" s="4"/>
      <c r="J71" s="4"/>
    </row>
    <row r="72" ht="19.5" customHeight="1">
      <c r="A72" s="12"/>
      <c r="B72" s="25">
        <v>62.0</v>
      </c>
      <c r="C72" s="11" t="s">
        <v>81</v>
      </c>
      <c r="D72" s="10">
        <v>3.0</v>
      </c>
      <c r="E72" s="4"/>
      <c r="F72" s="4"/>
      <c r="G72" s="4"/>
      <c r="H72" s="4"/>
      <c r="I72" s="4"/>
      <c r="J72" s="4"/>
    </row>
    <row r="73" ht="19.5" customHeight="1">
      <c r="A73" s="12"/>
      <c r="B73" s="25">
        <v>63.0</v>
      </c>
      <c r="C73" s="5" t="s">
        <v>82</v>
      </c>
      <c r="D73" s="10">
        <v>3.0</v>
      </c>
      <c r="E73" s="4"/>
      <c r="F73" s="4"/>
      <c r="G73" s="4"/>
      <c r="H73" s="4"/>
      <c r="I73" s="4"/>
      <c r="J73" s="4"/>
    </row>
    <row r="74" ht="19.5" customHeight="1">
      <c r="A74" s="12"/>
      <c r="B74" s="25">
        <v>64.0</v>
      </c>
      <c r="C74" s="5" t="s">
        <v>83</v>
      </c>
      <c r="D74" s="10">
        <v>3.0</v>
      </c>
      <c r="E74" s="4"/>
      <c r="F74" s="4"/>
      <c r="G74" s="4"/>
      <c r="H74" s="4"/>
      <c r="I74" s="4"/>
      <c r="J74" s="4"/>
    </row>
    <row r="75" ht="19.5" customHeight="1">
      <c r="A75" s="12"/>
      <c r="B75" s="25">
        <v>65.0</v>
      </c>
      <c r="C75" s="5" t="s">
        <v>84</v>
      </c>
      <c r="D75" s="10">
        <v>3.0</v>
      </c>
      <c r="E75" s="4"/>
      <c r="F75" s="4"/>
      <c r="G75" s="4"/>
      <c r="H75" s="4"/>
      <c r="I75" s="4"/>
      <c r="J75" s="4"/>
    </row>
    <row r="76" ht="19.5" customHeight="1">
      <c r="A76" s="13"/>
      <c r="B76" s="25">
        <v>66.0</v>
      </c>
      <c r="C76" s="5" t="s">
        <v>85</v>
      </c>
      <c r="D76" s="10">
        <v>3.0</v>
      </c>
      <c r="E76" s="4"/>
      <c r="F76" s="4"/>
      <c r="G76" s="4"/>
      <c r="H76" s="4"/>
      <c r="I76" s="4"/>
      <c r="J76" s="4"/>
    </row>
    <row r="77" ht="19.5" customHeight="1">
      <c r="A77" s="26"/>
      <c r="B77" s="25">
        <v>67.0</v>
      </c>
      <c r="C77" s="11" t="s">
        <v>86</v>
      </c>
      <c r="D77" s="25">
        <v>3.0</v>
      </c>
      <c r="E77" s="4"/>
      <c r="F77" s="4"/>
      <c r="G77" s="4"/>
      <c r="H77" s="4"/>
      <c r="I77" s="4"/>
      <c r="J77" s="4"/>
    </row>
    <row r="78" ht="15.75" customHeight="1">
      <c r="A78" s="14" t="s">
        <v>87</v>
      </c>
      <c r="B78" s="2"/>
      <c r="C78" s="2"/>
      <c r="D78" s="3"/>
      <c r="E78" s="4"/>
      <c r="F78" s="4"/>
      <c r="G78" s="4"/>
      <c r="H78" s="4"/>
      <c r="I78" s="4"/>
      <c r="J78" s="4"/>
    </row>
    <row r="79" ht="27.75" customHeight="1">
      <c r="A79" s="15" t="s">
        <v>88</v>
      </c>
      <c r="B79" s="27">
        <v>68.0</v>
      </c>
      <c r="C79" s="17" t="s">
        <v>89</v>
      </c>
      <c r="D79" s="16">
        <v>2.0</v>
      </c>
      <c r="E79" s="18"/>
      <c r="F79" s="18"/>
      <c r="G79" s="18"/>
      <c r="H79" s="18"/>
      <c r="I79" s="18"/>
      <c r="J79" s="18"/>
    </row>
    <row r="80" ht="27.75" customHeight="1">
      <c r="A80" s="12"/>
      <c r="B80" s="27">
        <v>69.0</v>
      </c>
      <c r="C80" s="17" t="s">
        <v>90</v>
      </c>
      <c r="D80" s="16">
        <v>2.0</v>
      </c>
      <c r="E80" s="18"/>
      <c r="F80" s="18"/>
      <c r="G80" s="18"/>
      <c r="H80" s="18"/>
      <c r="I80" s="18"/>
      <c r="J80" s="18"/>
    </row>
    <row r="81" ht="27.75" customHeight="1">
      <c r="A81" s="12"/>
      <c r="B81" s="27">
        <v>70.0</v>
      </c>
      <c r="C81" s="19" t="s">
        <v>91</v>
      </c>
      <c r="D81" s="16">
        <v>2.0</v>
      </c>
      <c r="E81" s="18"/>
      <c r="F81" s="18"/>
      <c r="G81" s="18"/>
      <c r="H81" s="18"/>
      <c r="I81" s="18"/>
      <c r="J81" s="18"/>
    </row>
    <row r="82" ht="27.75" customHeight="1">
      <c r="A82" s="12"/>
      <c r="B82" s="27">
        <v>71.0</v>
      </c>
      <c r="C82" s="17" t="s">
        <v>92</v>
      </c>
      <c r="D82" s="16">
        <v>2.0</v>
      </c>
      <c r="E82" s="18"/>
      <c r="F82" s="18"/>
      <c r="G82" s="18"/>
      <c r="H82" s="18"/>
      <c r="I82" s="18"/>
      <c r="J82" s="18"/>
    </row>
    <row r="83" ht="27.75" customHeight="1">
      <c r="A83" s="12"/>
      <c r="B83" s="27">
        <v>72.0</v>
      </c>
      <c r="C83" s="17" t="s">
        <v>93</v>
      </c>
      <c r="D83" s="16">
        <v>2.0</v>
      </c>
      <c r="E83" s="18"/>
      <c r="F83" s="18"/>
      <c r="G83" s="18"/>
      <c r="H83" s="18"/>
      <c r="I83" s="18"/>
      <c r="J83" s="18"/>
    </row>
    <row r="84" ht="27.75" customHeight="1">
      <c r="A84" s="12"/>
      <c r="B84" s="27">
        <v>73.0</v>
      </c>
      <c r="C84" s="17" t="s">
        <v>94</v>
      </c>
      <c r="D84" s="16">
        <v>2.0</v>
      </c>
      <c r="E84" s="18"/>
      <c r="F84" s="18"/>
      <c r="G84" s="18"/>
      <c r="H84" s="18"/>
      <c r="I84" s="18"/>
      <c r="J84" s="18"/>
    </row>
    <row r="85" ht="27.75" customHeight="1">
      <c r="A85" s="12"/>
      <c r="B85" s="27">
        <v>74.0</v>
      </c>
      <c r="C85" s="17" t="s">
        <v>95</v>
      </c>
      <c r="D85" s="16">
        <v>2.0</v>
      </c>
      <c r="E85" s="18"/>
      <c r="F85" s="18"/>
      <c r="G85" s="18"/>
      <c r="H85" s="18"/>
      <c r="I85" s="18"/>
      <c r="J85" s="18"/>
    </row>
    <row r="86" ht="27.75" customHeight="1">
      <c r="A86" s="12"/>
      <c r="B86" s="27">
        <v>75.0</v>
      </c>
      <c r="C86" s="17" t="s">
        <v>96</v>
      </c>
      <c r="D86" s="16">
        <v>2.0</v>
      </c>
      <c r="E86" s="18"/>
      <c r="F86" s="18"/>
      <c r="G86" s="18"/>
      <c r="H86" s="18"/>
      <c r="I86" s="18"/>
      <c r="J86" s="18"/>
    </row>
    <row r="87" ht="27.75" customHeight="1">
      <c r="A87" s="12"/>
      <c r="B87" s="27">
        <v>76.0</v>
      </c>
      <c r="C87" s="17" t="s">
        <v>97</v>
      </c>
      <c r="D87" s="27">
        <v>2.0</v>
      </c>
      <c r="E87" s="18"/>
      <c r="F87" s="18"/>
      <c r="G87" s="18"/>
      <c r="H87" s="18"/>
      <c r="I87" s="18"/>
      <c r="J87" s="18"/>
    </row>
    <row r="88" ht="27.75" customHeight="1">
      <c r="A88" s="12"/>
      <c r="B88" s="27">
        <v>77.0</v>
      </c>
      <c r="C88" s="19" t="s">
        <v>98</v>
      </c>
      <c r="D88" s="27">
        <v>2.0</v>
      </c>
      <c r="E88" s="18"/>
      <c r="F88" s="18"/>
      <c r="G88" s="18"/>
      <c r="H88" s="18"/>
      <c r="I88" s="18"/>
      <c r="J88" s="18"/>
    </row>
    <row r="89" ht="27.75" customHeight="1">
      <c r="A89" s="12"/>
      <c r="B89" s="27">
        <v>78.0</v>
      </c>
      <c r="C89" s="19" t="s">
        <v>99</v>
      </c>
      <c r="D89" s="27">
        <v>2.0</v>
      </c>
      <c r="E89" s="18"/>
      <c r="F89" s="18"/>
      <c r="G89" s="18"/>
      <c r="H89" s="18"/>
      <c r="I89" s="18"/>
      <c r="J89" s="18"/>
    </row>
    <row r="90" ht="27.75" customHeight="1">
      <c r="A90" s="13"/>
      <c r="B90" s="27">
        <v>79.0</v>
      </c>
      <c r="C90" s="19" t="s">
        <v>100</v>
      </c>
      <c r="D90" s="16">
        <v>2.0</v>
      </c>
      <c r="E90" s="18"/>
      <c r="F90" s="18"/>
      <c r="G90" s="18"/>
      <c r="H90" s="18"/>
      <c r="I90" s="18"/>
      <c r="J90" s="18"/>
    </row>
    <row r="91" ht="15.75" customHeight="1">
      <c r="A91" s="14" t="s">
        <v>101</v>
      </c>
      <c r="B91" s="2"/>
      <c r="C91" s="2"/>
      <c r="D91" s="3"/>
      <c r="E91" s="4"/>
      <c r="F91" s="4"/>
      <c r="G91" s="4"/>
      <c r="H91" s="4"/>
      <c r="I91" s="4"/>
      <c r="J91" s="4"/>
    </row>
    <row r="92" ht="18.0" customHeight="1">
      <c r="A92" s="15" t="s">
        <v>102</v>
      </c>
      <c r="B92" s="25">
        <v>80.0</v>
      </c>
      <c r="C92" s="5" t="s">
        <v>103</v>
      </c>
      <c r="D92" s="10">
        <v>4.0</v>
      </c>
      <c r="E92" s="4"/>
      <c r="F92" s="4"/>
      <c r="G92" s="4"/>
      <c r="H92" s="4"/>
      <c r="I92" s="4"/>
      <c r="J92" s="4"/>
    </row>
    <row r="93" ht="18.0" customHeight="1">
      <c r="A93" s="12"/>
      <c r="B93" s="25">
        <v>81.0</v>
      </c>
      <c r="C93" s="5" t="s">
        <v>104</v>
      </c>
      <c r="D93" s="10">
        <v>4.0</v>
      </c>
      <c r="E93" s="4"/>
      <c r="F93" s="4"/>
      <c r="G93" s="4"/>
      <c r="H93" s="4"/>
      <c r="I93" s="4"/>
      <c r="J93" s="4"/>
    </row>
    <row r="94" ht="18.0" customHeight="1">
      <c r="A94" s="12"/>
      <c r="B94" s="25">
        <v>82.0</v>
      </c>
      <c r="C94" s="5" t="s">
        <v>105</v>
      </c>
      <c r="D94" s="10">
        <v>4.0</v>
      </c>
      <c r="E94" s="4"/>
      <c r="F94" s="4"/>
      <c r="G94" s="4"/>
      <c r="H94" s="4"/>
      <c r="I94" s="4"/>
      <c r="J94" s="4"/>
    </row>
    <row r="95" ht="18.0" customHeight="1">
      <c r="A95" s="12"/>
      <c r="B95" s="25">
        <v>83.0</v>
      </c>
      <c r="C95" s="5" t="s">
        <v>106</v>
      </c>
      <c r="D95" s="10">
        <v>4.0</v>
      </c>
      <c r="E95" s="4"/>
      <c r="F95" s="4"/>
      <c r="G95" s="4"/>
      <c r="H95" s="4"/>
      <c r="I95" s="4"/>
      <c r="J95" s="4"/>
    </row>
    <row r="96" ht="18.0" customHeight="1">
      <c r="A96" s="12"/>
      <c r="B96" s="25">
        <v>84.0</v>
      </c>
      <c r="C96" s="5" t="s">
        <v>107</v>
      </c>
      <c r="D96" s="10">
        <v>4.0</v>
      </c>
      <c r="E96" s="4"/>
      <c r="F96" s="4"/>
      <c r="G96" s="4"/>
      <c r="H96" s="4"/>
      <c r="I96" s="4"/>
      <c r="J96" s="4"/>
    </row>
    <row r="97" ht="18.0" customHeight="1">
      <c r="A97" s="12"/>
      <c r="B97" s="25">
        <v>85.0</v>
      </c>
      <c r="C97" s="5" t="s">
        <v>108</v>
      </c>
      <c r="D97" s="10">
        <v>4.0</v>
      </c>
      <c r="E97" s="4"/>
      <c r="F97" s="4"/>
      <c r="G97" s="4"/>
      <c r="H97" s="4"/>
      <c r="I97" s="4"/>
      <c r="J97" s="4"/>
    </row>
    <row r="98" ht="18.0" customHeight="1">
      <c r="A98" s="12"/>
      <c r="B98" s="25">
        <v>86.0</v>
      </c>
      <c r="C98" s="5" t="s">
        <v>109</v>
      </c>
      <c r="D98" s="10">
        <v>4.0</v>
      </c>
      <c r="E98" s="4"/>
      <c r="F98" s="4"/>
      <c r="G98" s="4"/>
      <c r="H98" s="4"/>
      <c r="I98" s="4"/>
      <c r="J98" s="4"/>
    </row>
    <row r="99" ht="18.0" customHeight="1">
      <c r="A99" s="12"/>
      <c r="B99" s="25">
        <v>87.0</v>
      </c>
      <c r="C99" s="11" t="s">
        <v>110</v>
      </c>
      <c r="D99" s="10">
        <v>4.0</v>
      </c>
      <c r="E99" s="4"/>
      <c r="F99" s="4"/>
      <c r="G99" s="4"/>
      <c r="H99" s="4"/>
      <c r="I99" s="4"/>
      <c r="J99" s="4"/>
    </row>
    <row r="100" ht="18.0" customHeight="1">
      <c r="A100" s="12"/>
      <c r="B100" s="25">
        <v>88.0</v>
      </c>
      <c r="C100" s="5" t="s">
        <v>111</v>
      </c>
      <c r="D100" s="10">
        <v>4.0</v>
      </c>
      <c r="E100" s="4"/>
      <c r="F100" s="4"/>
      <c r="G100" s="4"/>
      <c r="H100" s="4"/>
      <c r="I100" s="4"/>
      <c r="J100" s="4"/>
    </row>
    <row r="101" ht="18.0" customHeight="1">
      <c r="A101" s="13"/>
      <c r="B101" s="25">
        <v>89.0</v>
      </c>
      <c r="C101" s="5" t="s">
        <v>112</v>
      </c>
      <c r="D101" s="10">
        <v>4.0</v>
      </c>
      <c r="E101" s="4"/>
      <c r="F101" s="4"/>
      <c r="G101" s="4"/>
      <c r="H101" s="4"/>
      <c r="I101" s="4"/>
      <c r="J101" s="4"/>
    </row>
    <row r="102" ht="15.75" customHeight="1">
      <c r="A102" s="14" t="s">
        <v>113</v>
      </c>
      <c r="B102" s="2"/>
      <c r="C102" s="2"/>
      <c r="D102" s="3"/>
      <c r="E102" s="4"/>
      <c r="F102" s="4"/>
      <c r="G102" s="4"/>
      <c r="H102" s="4"/>
      <c r="I102" s="4"/>
      <c r="J102" s="4"/>
    </row>
    <row r="103" ht="18.75" customHeight="1">
      <c r="A103" s="15" t="s">
        <v>114</v>
      </c>
      <c r="B103" s="25">
        <v>90.0</v>
      </c>
      <c r="C103" s="11" t="s">
        <v>115</v>
      </c>
      <c r="D103" s="10">
        <v>5.0</v>
      </c>
      <c r="E103" s="4"/>
      <c r="F103" s="4"/>
      <c r="G103" s="4"/>
      <c r="H103" s="4"/>
      <c r="I103" s="4"/>
      <c r="J103" s="4"/>
    </row>
    <row r="104" ht="18.75" customHeight="1">
      <c r="A104" s="12"/>
      <c r="B104" s="25">
        <v>91.0</v>
      </c>
      <c r="C104" s="11" t="s">
        <v>116</v>
      </c>
      <c r="D104" s="10">
        <v>5.0</v>
      </c>
      <c r="E104" s="4"/>
      <c r="F104" s="4"/>
      <c r="G104" s="4"/>
      <c r="H104" s="4"/>
      <c r="I104" s="4"/>
      <c r="J104" s="4"/>
    </row>
    <row r="105" ht="18.75" customHeight="1">
      <c r="A105" s="12"/>
      <c r="B105" s="25">
        <v>92.0</v>
      </c>
      <c r="C105" s="5" t="s">
        <v>117</v>
      </c>
      <c r="D105" s="10">
        <v>5.0</v>
      </c>
      <c r="E105" s="4"/>
      <c r="F105" s="4"/>
      <c r="G105" s="4"/>
      <c r="H105" s="4"/>
      <c r="I105" s="4"/>
      <c r="J105" s="4"/>
    </row>
    <row r="106" ht="18.75" customHeight="1">
      <c r="A106" s="12"/>
      <c r="B106" s="25">
        <v>93.0</v>
      </c>
      <c r="C106" s="5" t="s">
        <v>118</v>
      </c>
      <c r="D106" s="10">
        <v>5.0</v>
      </c>
      <c r="E106" s="4"/>
      <c r="F106" s="4"/>
      <c r="G106" s="4"/>
      <c r="H106" s="4"/>
      <c r="I106" s="4"/>
      <c r="J106" s="4"/>
    </row>
    <row r="107" ht="18.75" customHeight="1">
      <c r="A107" s="12"/>
      <c r="B107" s="25">
        <v>94.0</v>
      </c>
      <c r="C107" s="5" t="s">
        <v>119</v>
      </c>
      <c r="D107" s="10">
        <v>5.0</v>
      </c>
      <c r="E107" s="4"/>
      <c r="F107" s="4"/>
      <c r="G107" s="4"/>
      <c r="H107" s="4"/>
      <c r="I107" s="4"/>
      <c r="J107" s="4"/>
    </row>
    <row r="108" ht="18.75" customHeight="1">
      <c r="A108" s="12"/>
      <c r="B108" s="25">
        <v>95.0</v>
      </c>
      <c r="C108" s="5" t="s">
        <v>120</v>
      </c>
      <c r="D108" s="10">
        <v>5.0</v>
      </c>
      <c r="E108" s="4"/>
      <c r="F108" s="4"/>
      <c r="G108" s="4"/>
      <c r="H108" s="4"/>
      <c r="I108" s="4"/>
      <c r="J108" s="4"/>
    </row>
    <row r="109" ht="18.75" customHeight="1">
      <c r="A109" s="12"/>
      <c r="B109" s="25">
        <v>96.0</v>
      </c>
      <c r="C109" s="11" t="s">
        <v>121</v>
      </c>
      <c r="D109" s="10">
        <v>5.0</v>
      </c>
      <c r="E109" s="4"/>
      <c r="F109" s="4"/>
      <c r="G109" s="4"/>
      <c r="H109" s="4"/>
      <c r="I109" s="4"/>
      <c r="J109" s="4"/>
    </row>
    <row r="110" ht="18.75" customHeight="1">
      <c r="A110" s="12"/>
      <c r="B110" s="25">
        <v>97.0</v>
      </c>
      <c r="C110" s="5" t="s">
        <v>122</v>
      </c>
      <c r="D110" s="10">
        <v>5.0</v>
      </c>
      <c r="E110" s="4"/>
      <c r="F110" s="4"/>
      <c r="G110" s="4"/>
      <c r="H110" s="4"/>
      <c r="I110" s="4"/>
      <c r="J110" s="4"/>
    </row>
    <row r="111" ht="18.75" customHeight="1">
      <c r="A111" s="12"/>
      <c r="B111" s="25">
        <v>98.0</v>
      </c>
      <c r="C111" s="5" t="s">
        <v>123</v>
      </c>
      <c r="D111" s="10">
        <v>5.0</v>
      </c>
      <c r="E111" s="4"/>
      <c r="F111" s="4"/>
      <c r="G111" s="4"/>
      <c r="H111" s="4"/>
      <c r="I111" s="4"/>
      <c r="J111" s="4"/>
    </row>
    <row r="112" ht="18.75" customHeight="1">
      <c r="A112" s="12"/>
      <c r="B112" s="25">
        <v>99.0</v>
      </c>
      <c r="C112" s="11" t="s">
        <v>124</v>
      </c>
      <c r="D112" s="10">
        <v>5.0</v>
      </c>
      <c r="E112" s="4"/>
      <c r="F112" s="4"/>
      <c r="G112" s="4"/>
      <c r="H112" s="4"/>
      <c r="I112" s="4"/>
      <c r="J112" s="4"/>
    </row>
    <row r="113" ht="18.75" customHeight="1">
      <c r="A113" s="13"/>
      <c r="B113" s="25">
        <v>100.0</v>
      </c>
      <c r="C113" s="5" t="s">
        <v>125</v>
      </c>
      <c r="D113" s="10">
        <v>5.0</v>
      </c>
      <c r="E113" s="4"/>
      <c r="F113" s="4"/>
      <c r="G113" s="4"/>
      <c r="H113" s="4"/>
      <c r="I113" s="4"/>
      <c r="J113" s="4"/>
    </row>
    <row r="114" ht="15.75" customHeight="1">
      <c r="A114" s="28" t="s">
        <v>126</v>
      </c>
      <c r="B114" s="2"/>
      <c r="C114" s="2"/>
      <c r="D114" s="3"/>
      <c r="E114" s="4"/>
      <c r="F114" s="4"/>
      <c r="G114" s="4"/>
      <c r="H114" s="4"/>
      <c r="I114" s="4"/>
      <c r="J114" s="4"/>
    </row>
    <row r="115" ht="15.75" customHeight="1">
      <c r="A115" s="15" t="s">
        <v>127</v>
      </c>
      <c r="B115" s="25">
        <v>101.0</v>
      </c>
      <c r="C115" s="5" t="s">
        <v>128</v>
      </c>
      <c r="D115" s="10">
        <v>1.0</v>
      </c>
      <c r="E115" s="4"/>
      <c r="F115" s="4"/>
      <c r="G115" s="4"/>
      <c r="H115" s="4"/>
      <c r="I115" s="4"/>
      <c r="J115" s="4"/>
    </row>
    <row r="116" ht="15.75" customHeight="1">
      <c r="A116" s="12"/>
      <c r="B116" s="25">
        <v>102.0</v>
      </c>
      <c r="C116" s="5" t="s">
        <v>129</v>
      </c>
      <c r="D116" s="10">
        <v>1.0</v>
      </c>
      <c r="E116" s="4"/>
      <c r="F116" s="4"/>
      <c r="G116" s="4"/>
      <c r="H116" s="4"/>
      <c r="I116" s="4"/>
      <c r="J116" s="4"/>
    </row>
    <row r="117" ht="15.75" customHeight="1">
      <c r="A117" s="12"/>
      <c r="B117" s="25">
        <v>103.0</v>
      </c>
      <c r="C117" s="5" t="s">
        <v>130</v>
      </c>
      <c r="D117" s="10">
        <v>1.0</v>
      </c>
      <c r="E117" s="4"/>
      <c r="F117" s="4"/>
      <c r="G117" s="4"/>
      <c r="H117" s="4"/>
      <c r="I117" s="4"/>
      <c r="J117" s="4"/>
    </row>
    <row r="118" ht="15.75" customHeight="1">
      <c r="A118" s="12"/>
      <c r="B118" s="25">
        <v>104.0</v>
      </c>
      <c r="C118" s="5" t="s">
        <v>131</v>
      </c>
      <c r="D118" s="10">
        <v>1.0</v>
      </c>
      <c r="E118" s="4"/>
      <c r="F118" s="4"/>
      <c r="G118" s="4"/>
      <c r="H118" s="4"/>
      <c r="I118" s="4"/>
      <c r="J118" s="4"/>
    </row>
    <row r="119" ht="15.75" customHeight="1">
      <c r="A119" s="12"/>
      <c r="B119" s="25">
        <v>105.0</v>
      </c>
      <c r="C119" s="5" t="s">
        <v>132</v>
      </c>
      <c r="D119" s="10">
        <v>1.0</v>
      </c>
      <c r="E119" s="4"/>
      <c r="F119" s="4"/>
      <c r="G119" s="4"/>
      <c r="H119" s="4"/>
      <c r="I119" s="4"/>
      <c r="J119" s="4"/>
    </row>
    <row r="120" ht="15.75" customHeight="1">
      <c r="A120" s="12"/>
      <c r="B120" s="25">
        <v>106.0</v>
      </c>
      <c r="C120" s="5" t="s">
        <v>133</v>
      </c>
      <c r="D120" s="10">
        <v>1.0</v>
      </c>
      <c r="E120" s="4"/>
      <c r="F120" s="4"/>
      <c r="G120" s="4"/>
      <c r="H120" s="4"/>
      <c r="I120" s="4"/>
      <c r="J120" s="4"/>
    </row>
    <row r="121" ht="15.75" customHeight="1">
      <c r="A121" s="12"/>
      <c r="B121" s="25">
        <v>107.0</v>
      </c>
      <c r="C121" s="5" t="s">
        <v>134</v>
      </c>
      <c r="D121" s="10">
        <v>1.0</v>
      </c>
      <c r="E121" s="4"/>
      <c r="F121" s="4"/>
      <c r="G121" s="4"/>
      <c r="H121" s="4"/>
      <c r="I121" s="4"/>
      <c r="J121" s="4"/>
    </row>
    <row r="122" ht="15.75" customHeight="1">
      <c r="A122" s="12"/>
      <c r="B122" s="25">
        <v>108.0</v>
      </c>
      <c r="C122" s="5" t="s">
        <v>135</v>
      </c>
      <c r="D122" s="10">
        <v>1.0</v>
      </c>
      <c r="E122" s="4"/>
      <c r="F122" s="4"/>
      <c r="G122" s="4"/>
      <c r="H122" s="4"/>
      <c r="I122" s="4"/>
      <c r="J122" s="4"/>
    </row>
    <row r="123" ht="15.75" customHeight="1">
      <c r="A123" s="12"/>
      <c r="B123" s="25">
        <v>109.0</v>
      </c>
      <c r="C123" s="5" t="s">
        <v>136</v>
      </c>
      <c r="D123" s="10">
        <v>1.0</v>
      </c>
      <c r="E123" s="4"/>
      <c r="F123" s="4"/>
      <c r="G123" s="4"/>
      <c r="H123" s="4"/>
      <c r="I123" s="4"/>
      <c r="J123" s="4"/>
    </row>
    <row r="124" ht="15.75" customHeight="1">
      <c r="A124" s="12"/>
      <c r="B124" s="25">
        <v>110.0</v>
      </c>
      <c r="C124" s="11" t="s">
        <v>137</v>
      </c>
      <c r="D124" s="10">
        <v>1.0</v>
      </c>
      <c r="E124" s="4"/>
      <c r="F124" s="4"/>
      <c r="G124" s="4"/>
      <c r="H124" s="4"/>
      <c r="I124" s="4"/>
      <c r="J124" s="4"/>
    </row>
    <row r="125" ht="15.75" customHeight="1">
      <c r="A125" s="12"/>
      <c r="B125" s="25">
        <v>11.0</v>
      </c>
      <c r="C125" s="5" t="s">
        <v>138</v>
      </c>
      <c r="D125" s="10">
        <v>1.0</v>
      </c>
      <c r="E125" s="4"/>
      <c r="F125" s="4"/>
      <c r="G125" s="4"/>
      <c r="H125" s="4"/>
      <c r="I125" s="4"/>
      <c r="J125" s="4"/>
    </row>
    <row r="126" ht="15.75" customHeight="1">
      <c r="A126" s="13"/>
      <c r="B126" s="25">
        <v>112.0</v>
      </c>
      <c r="C126" s="11" t="s">
        <v>139</v>
      </c>
      <c r="D126" s="10">
        <v>1.0</v>
      </c>
      <c r="E126" s="4"/>
      <c r="F126" s="4"/>
      <c r="G126" s="4"/>
      <c r="H126" s="4"/>
      <c r="I126" s="4"/>
      <c r="J126" s="4"/>
    </row>
    <row r="127" ht="15.75" customHeight="1">
      <c r="A127" s="14" t="s">
        <v>140</v>
      </c>
      <c r="B127" s="2"/>
      <c r="C127" s="2"/>
      <c r="D127" s="3"/>
      <c r="E127" s="4"/>
      <c r="F127" s="4"/>
      <c r="G127" s="4"/>
      <c r="H127" s="4"/>
      <c r="I127" s="4"/>
      <c r="J127" s="4"/>
    </row>
    <row r="128" ht="18.0" customHeight="1">
      <c r="A128" s="15" t="s">
        <v>141</v>
      </c>
      <c r="B128" s="25">
        <v>113.0</v>
      </c>
      <c r="C128" s="11" t="s">
        <v>142</v>
      </c>
      <c r="D128" s="10">
        <v>6.0</v>
      </c>
      <c r="E128" s="4"/>
      <c r="F128" s="4"/>
      <c r="G128" s="4"/>
      <c r="H128" s="4"/>
      <c r="I128" s="4"/>
      <c r="J128" s="4"/>
    </row>
    <row r="129" ht="18.0" customHeight="1">
      <c r="A129" s="12"/>
      <c r="B129" s="25">
        <v>114.0</v>
      </c>
      <c r="C129" s="11" t="s">
        <v>143</v>
      </c>
      <c r="D129" s="10">
        <v>6.0</v>
      </c>
      <c r="E129" s="4"/>
      <c r="F129" s="4"/>
      <c r="G129" s="4"/>
      <c r="H129" s="4"/>
      <c r="I129" s="4"/>
      <c r="J129" s="4"/>
    </row>
    <row r="130" ht="18.0" customHeight="1">
      <c r="A130" s="12"/>
      <c r="B130" s="25">
        <v>115.0</v>
      </c>
      <c r="C130" s="11" t="s">
        <v>144</v>
      </c>
      <c r="D130" s="10">
        <v>6.0</v>
      </c>
      <c r="E130" s="4"/>
      <c r="F130" s="4"/>
      <c r="G130" s="4"/>
      <c r="H130" s="4"/>
      <c r="I130" s="4"/>
      <c r="J130" s="4"/>
    </row>
    <row r="131" ht="18.0" customHeight="1">
      <c r="A131" s="12"/>
      <c r="B131" s="25">
        <v>116.0</v>
      </c>
      <c r="C131" s="11" t="s">
        <v>145</v>
      </c>
      <c r="D131" s="10">
        <v>6.0</v>
      </c>
      <c r="E131" s="4"/>
      <c r="F131" s="4"/>
      <c r="G131" s="4"/>
      <c r="H131" s="4"/>
      <c r="I131" s="4"/>
      <c r="J131" s="4"/>
    </row>
    <row r="132" ht="18.0" customHeight="1">
      <c r="A132" s="12"/>
      <c r="B132" s="25">
        <v>117.0</v>
      </c>
      <c r="C132" s="5" t="s">
        <v>146</v>
      </c>
      <c r="D132" s="10">
        <v>6.0</v>
      </c>
      <c r="E132" s="4"/>
      <c r="F132" s="4"/>
      <c r="G132" s="4"/>
      <c r="H132" s="4"/>
      <c r="I132" s="4"/>
      <c r="J132" s="4"/>
    </row>
    <row r="133" ht="18.0" customHeight="1">
      <c r="A133" s="12"/>
      <c r="B133" s="25">
        <v>118.0</v>
      </c>
      <c r="C133" s="5" t="s">
        <v>147</v>
      </c>
      <c r="D133" s="10">
        <v>6.0</v>
      </c>
      <c r="E133" s="4"/>
      <c r="F133" s="4"/>
      <c r="G133" s="4"/>
      <c r="H133" s="4"/>
      <c r="I133" s="4"/>
      <c r="J133" s="4"/>
    </row>
    <row r="134" ht="18.0" customHeight="1">
      <c r="A134" s="12"/>
      <c r="B134" s="25">
        <v>119.0</v>
      </c>
      <c r="C134" s="5" t="s">
        <v>148</v>
      </c>
      <c r="D134" s="10">
        <v>6.0</v>
      </c>
      <c r="E134" s="4"/>
      <c r="F134" s="4"/>
      <c r="G134" s="4"/>
      <c r="H134" s="4"/>
      <c r="I134" s="4"/>
      <c r="J134" s="4"/>
    </row>
    <row r="135" ht="18.0" customHeight="1">
      <c r="A135" s="12"/>
      <c r="B135" s="25">
        <v>120.0</v>
      </c>
      <c r="C135" s="11" t="s">
        <v>149</v>
      </c>
      <c r="D135" s="10">
        <v>6.0</v>
      </c>
      <c r="E135" s="4"/>
      <c r="F135" s="4"/>
      <c r="G135" s="4"/>
      <c r="H135" s="4"/>
      <c r="I135" s="4"/>
      <c r="J135" s="4"/>
    </row>
    <row r="136" ht="18.0" customHeight="1">
      <c r="A136" s="12"/>
      <c r="B136" s="25">
        <v>121.0</v>
      </c>
      <c r="C136" s="5" t="s">
        <v>150</v>
      </c>
      <c r="D136" s="10">
        <v>6.0</v>
      </c>
      <c r="E136" s="4"/>
      <c r="F136" s="4"/>
      <c r="G136" s="4"/>
      <c r="H136" s="4"/>
      <c r="I136" s="4"/>
      <c r="J136" s="4"/>
    </row>
    <row r="137" ht="18.0" customHeight="1">
      <c r="A137" s="12"/>
      <c r="B137" s="25">
        <v>122.0</v>
      </c>
      <c r="C137" s="11" t="s">
        <v>151</v>
      </c>
      <c r="D137" s="10">
        <v>6.0</v>
      </c>
      <c r="E137" s="4"/>
      <c r="F137" s="4"/>
      <c r="G137" s="4"/>
      <c r="H137" s="4"/>
      <c r="I137" s="4"/>
      <c r="J137" s="4"/>
    </row>
    <row r="138" ht="18.0" customHeight="1">
      <c r="A138" s="13"/>
      <c r="B138" s="25">
        <v>123.0</v>
      </c>
      <c r="C138" s="11" t="s">
        <v>152</v>
      </c>
      <c r="D138" s="10">
        <v>6.0</v>
      </c>
      <c r="E138" s="4"/>
      <c r="F138" s="4"/>
      <c r="G138" s="4"/>
      <c r="H138" s="4"/>
      <c r="I138" s="4"/>
      <c r="J138" s="4"/>
    </row>
    <row r="139" ht="15.75" customHeight="1">
      <c r="A139" s="14" t="s">
        <v>153</v>
      </c>
      <c r="B139" s="2"/>
      <c r="C139" s="2"/>
      <c r="D139" s="3"/>
      <c r="E139" s="4"/>
      <c r="F139" s="4"/>
      <c r="G139" s="4"/>
      <c r="H139" s="4"/>
      <c r="I139" s="4"/>
      <c r="J139" s="4"/>
    </row>
    <row r="140" ht="17.25" customHeight="1">
      <c r="A140" s="15" t="s">
        <v>154</v>
      </c>
      <c r="B140" s="25">
        <v>124.0</v>
      </c>
      <c r="C140" s="11" t="s">
        <v>155</v>
      </c>
      <c r="D140" s="10">
        <v>9.0</v>
      </c>
      <c r="E140" s="4"/>
      <c r="F140" s="4"/>
      <c r="G140" s="4"/>
      <c r="H140" s="4"/>
      <c r="I140" s="4"/>
      <c r="J140" s="4"/>
    </row>
    <row r="141" ht="17.25" customHeight="1">
      <c r="A141" s="12"/>
      <c r="B141" s="25">
        <v>125.0</v>
      </c>
      <c r="C141" s="11" t="s">
        <v>156</v>
      </c>
      <c r="D141" s="10">
        <v>9.0</v>
      </c>
      <c r="E141" s="4"/>
      <c r="F141" s="4"/>
      <c r="G141" s="4"/>
      <c r="H141" s="4"/>
      <c r="I141" s="4"/>
      <c r="J141" s="4"/>
    </row>
    <row r="142" ht="17.25" customHeight="1">
      <c r="A142" s="12"/>
      <c r="B142" s="25">
        <v>126.0</v>
      </c>
      <c r="C142" s="5" t="s">
        <v>157</v>
      </c>
      <c r="D142" s="10">
        <v>9.0</v>
      </c>
      <c r="E142" s="4"/>
      <c r="F142" s="4"/>
      <c r="G142" s="4"/>
      <c r="H142" s="4"/>
      <c r="I142" s="4"/>
      <c r="J142" s="4"/>
    </row>
    <row r="143" ht="17.25" customHeight="1">
      <c r="A143" s="12"/>
      <c r="B143" s="25">
        <v>127.0</v>
      </c>
      <c r="C143" s="5" t="s">
        <v>158</v>
      </c>
      <c r="D143" s="10">
        <v>9.0</v>
      </c>
      <c r="E143" s="4"/>
      <c r="F143" s="4"/>
      <c r="G143" s="4"/>
      <c r="H143" s="4"/>
      <c r="I143" s="4"/>
      <c r="J143" s="4"/>
    </row>
    <row r="144" ht="17.25" customHeight="1">
      <c r="A144" s="12"/>
      <c r="B144" s="25">
        <v>128.0</v>
      </c>
      <c r="C144" s="5" t="s">
        <v>159</v>
      </c>
      <c r="D144" s="10">
        <v>9.0</v>
      </c>
      <c r="E144" s="4"/>
      <c r="F144" s="4"/>
      <c r="G144" s="4"/>
      <c r="H144" s="4"/>
      <c r="I144" s="4"/>
      <c r="J144" s="4"/>
    </row>
    <row r="145" ht="17.25" customHeight="1">
      <c r="A145" s="12"/>
      <c r="B145" s="25">
        <v>129.0</v>
      </c>
      <c r="C145" s="5" t="s">
        <v>160</v>
      </c>
      <c r="D145" s="10">
        <v>9.0</v>
      </c>
      <c r="E145" s="4"/>
      <c r="F145" s="4"/>
      <c r="G145" s="4"/>
      <c r="H145" s="4"/>
      <c r="I145" s="4"/>
      <c r="J145" s="4"/>
    </row>
    <row r="146" ht="17.25" customHeight="1">
      <c r="A146" s="12"/>
      <c r="B146" s="25">
        <v>130.0</v>
      </c>
      <c r="C146" s="5" t="s">
        <v>161</v>
      </c>
      <c r="D146" s="10">
        <v>9.0</v>
      </c>
      <c r="E146" s="4"/>
      <c r="F146" s="4"/>
      <c r="G146" s="4"/>
      <c r="H146" s="4"/>
      <c r="I146" s="4"/>
      <c r="J146" s="4"/>
    </row>
    <row r="147" ht="17.25" customHeight="1">
      <c r="A147" s="12"/>
      <c r="B147" s="25">
        <v>131.0</v>
      </c>
      <c r="C147" s="11" t="s">
        <v>162</v>
      </c>
      <c r="D147" s="10">
        <v>9.0</v>
      </c>
      <c r="E147" s="4"/>
      <c r="F147" s="4"/>
      <c r="G147" s="4"/>
      <c r="H147" s="4"/>
      <c r="I147" s="4"/>
      <c r="J147" s="4"/>
    </row>
    <row r="148" ht="17.25" customHeight="1">
      <c r="A148" s="12"/>
      <c r="B148" s="25">
        <v>132.0</v>
      </c>
      <c r="C148" s="5" t="s">
        <v>163</v>
      </c>
      <c r="D148" s="10">
        <v>9.0</v>
      </c>
      <c r="E148" s="4"/>
      <c r="F148" s="4"/>
      <c r="G148" s="4"/>
      <c r="H148" s="4"/>
      <c r="I148" s="4"/>
      <c r="J148" s="4"/>
    </row>
    <row r="149" ht="17.25" customHeight="1">
      <c r="A149" s="12"/>
      <c r="B149" s="25">
        <v>133.0</v>
      </c>
      <c r="C149" s="11" t="s">
        <v>164</v>
      </c>
      <c r="D149" s="10">
        <v>9.0</v>
      </c>
      <c r="E149" s="4"/>
      <c r="F149" s="4"/>
      <c r="G149" s="4"/>
      <c r="H149" s="4"/>
      <c r="I149" s="4"/>
      <c r="J149" s="4"/>
    </row>
    <row r="150" ht="17.25" customHeight="1">
      <c r="A150" s="12"/>
      <c r="B150" s="25">
        <v>134.0</v>
      </c>
      <c r="C150" s="5" t="s">
        <v>165</v>
      </c>
      <c r="D150" s="10">
        <v>9.0</v>
      </c>
      <c r="E150" s="4"/>
      <c r="F150" s="4"/>
      <c r="G150" s="4"/>
      <c r="H150" s="4"/>
      <c r="I150" s="4"/>
      <c r="J150" s="4"/>
    </row>
    <row r="151" ht="17.25" customHeight="1">
      <c r="A151" s="12"/>
      <c r="B151" s="25">
        <v>135.0</v>
      </c>
      <c r="C151" s="5" t="s">
        <v>166</v>
      </c>
      <c r="D151" s="10">
        <v>9.0</v>
      </c>
      <c r="E151" s="4"/>
      <c r="F151" s="4"/>
      <c r="G151" s="4"/>
      <c r="H151" s="4"/>
      <c r="I151" s="4"/>
      <c r="J151" s="4"/>
    </row>
    <row r="152" ht="17.25" customHeight="1">
      <c r="A152" s="12"/>
      <c r="B152" s="25">
        <v>136.0</v>
      </c>
      <c r="C152" s="5" t="s">
        <v>167</v>
      </c>
      <c r="D152" s="10">
        <v>9.0</v>
      </c>
      <c r="E152" s="4"/>
      <c r="F152" s="4"/>
      <c r="G152" s="4"/>
      <c r="H152" s="4"/>
      <c r="I152" s="4"/>
      <c r="J152" s="4"/>
    </row>
    <row r="153" ht="17.25" customHeight="1">
      <c r="A153" s="13"/>
      <c r="B153" s="25">
        <v>137.0</v>
      </c>
      <c r="C153" s="5" t="s">
        <v>168</v>
      </c>
      <c r="D153" s="10">
        <v>9.0</v>
      </c>
      <c r="E153" s="4"/>
      <c r="F153" s="4"/>
      <c r="G153" s="4"/>
      <c r="H153" s="4"/>
      <c r="I153" s="4"/>
      <c r="J153" s="4"/>
    </row>
    <row r="154" ht="15.75" customHeight="1">
      <c r="A154" s="14" t="s">
        <v>169</v>
      </c>
      <c r="B154" s="2"/>
      <c r="C154" s="2"/>
      <c r="D154" s="3"/>
      <c r="E154" s="4"/>
      <c r="F154" s="4"/>
      <c r="G154" s="4"/>
      <c r="H154" s="4"/>
      <c r="I154" s="4"/>
      <c r="J154" s="4"/>
    </row>
    <row r="155" ht="15.75" customHeight="1">
      <c r="A155" s="15" t="s">
        <v>170</v>
      </c>
      <c r="B155" s="25">
        <v>138.0</v>
      </c>
      <c r="C155" s="11" t="s">
        <v>171</v>
      </c>
      <c r="D155" s="10">
        <v>8.0</v>
      </c>
      <c r="E155" s="4"/>
      <c r="F155" s="4"/>
      <c r="G155" s="4"/>
      <c r="H155" s="4"/>
      <c r="I155" s="4"/>
      <c r="J155" s="4"/>
    </row>
    <row r="156" ht="15.75" customHeight="1">
      <c r="A156" s="12"/>
      <c r="B156" s="25">
        <v>139.0</v>
      </c>
      <c r="C156" s="5" t="s">
        <v>172</v>
      </c>
      <c r="D156" s="10">
        <v>8.0</v>
      </c>
      <c r="E156" s="4"/>
      <c r="F156" s="4"/>
      <c r="G156" s="4"/>
      <c r="H156" s="4"/>
      <c r="I156" s="4"/>
      <c r="J156" s="4"/>
    </row>
    <row r="157" ht="15.75" customHeight="1">
      <c r="A157" s="12"/>
      <c r="B157" s="25">
        <v>140.0</v>
      </c>
      <c r="C157" s="5" t="s">
        <v>173</v>
      </c>
      <c r="D157" s="10">
        <v>8.0</v>
      </c>
      <c r="E157" s="4"/>
      <c r="F157" s="4"/>
      <c r="G157" s="4"/>
      <c r="H157" s="4"/>
      <c r="I157" s="4"/>
      <c r="J157" s="4"/>
    </row>
    <row r="158" ht="15.75" customHeight="1">
      <c r="A158" s="12"/>
      <c r="B158" s="25">
        <v>141.0</v>
      </c>
      <c r="C158" s="5" t="s">
        <v>174</v>
      </c>
      <c r="D158" s="10">
        <v>8.0</v>
      </c>
      <c r="E158" s="4"/>
      <c r="F158" s="4"/>
      <c r="G158" s="4"/>
      <c r="H158" s="4"/>
      <c r="I158" s="4"/>
      <c r="J158" s="4"/>
    </row>
    <row r="159" ht="15.75" customHeight="1">
      <c r="A159" s="12"/>
      <c r="B159" s="25">
        <v>142.0</v>
      </c>
      <c r="C159" s="11" t="s">
        <v>175</v>
      </c>
      <c r="D159" s="10">
        <v>8.0</v>
      </c>
      <c r="E159" s="4"/>
      <c r="F159" s="4"/>
      <c r="G159" s="4"/>
      <c r="H159" s="4"/>
      <c r="I159" s="4"/>
      <c r="J159" s="4"/>
    </row>
    <row r="160" ht="15.75" customHeight="1">
      <c r="A160" s="12"/>
      <c r="B160" s="25">
        <v>143.0</v>
      </c>
      <c r="C160" s="5" t="s">
        <v>176</v>
      </c>
      <c r="D160" s="10">
        <v>8.0</v>
      </c>
      <c r="E160" s="4"/>
      <c r="F160" s="4"/>
      <c r="G160" s="4"/>
      <c r="H160" s="4"/>
      <c r="I160" s="4"/>
      <c r="J160" s="4"/>
    </row>
    <row r="161" ht="15.75" customHeight="1">
      <c r="A161" s="12"/>
      <c r="B161" s="25">
        <v>144.0</v>
      </c>
      <c r="C161" s="5" t="s">
        <v>177</v>
      </c>
      <c r="D161" s="10">
        <v>8.0</v>
      </c>
      <c r="E161" s="4"/>
      <c r="F161" s="4"/>
      <c r="G161" s="4"/>
      <c r="H161" s="4"/>
      <c r="I161" s="4"/>
      <c r="J161" s="4"/>
    </row>
    <row r="162" ht="15.75" customHeight="1">
      <c r="A162" s="12"/>
      <c r="B162" s="25">
        <v>145.0</v>
      </c>
      <c r="C162" s="5" t="s">
        <v>178</v>
      </c>
      <c r="D162" s="10">
        <v>8.0</v>
      </c>
      <c r="E162" s="4"/>
      <c r="F162" s="4"/>
      <c r="G162" s="4"/>
      <c r="H162" s="4"/>
      <c r="I162" s="4"/>
      <c r="J162" s="4"/>
    </row>
    <row r="163" ht="15.75" customHeight="1">
      <c r="A163" s="12"/>
      <c r="B163" s="25">
        <v>146.0</v>
      </c>
      <c r="C163" s="5" t="s">
        <v>179</v>
      </c>
      <c r="D163" s="10">
        <v>8.0</v>
      </c>
      <c r="E163" s="4"/>
      <c r="F163" s="4"/>
      <c r="G163" s="4"/>
      <c r="H163" s="4"/>
      <c r="I163" s="4"/>
      <c r="J163" s="4"/>
    </row>
    <row r="164" ht="15.75" customHeight="1">
      <c r="A164" s="12"/>
      <c r="B164" s="25">
        <v>147.0</v>
      </c>
      <c r="C164" s="11" t="s">
        <v>180</v>
      </c>
      <c r="D164" s="10">
        <v>8.0</v>
      </c>
      <c r="E164" s="4"/>
      <c r="F164" s="4"/>
      <c r="G164" s="4"/>
      <c r="H164" s="4"/>
      <c r="I164" s="4"/>
      <c r="J164" s="4"/>
    </row>
    <row r="165" ht="15.75" customHeight="1">
      <c r="A165" s="12"/>
      <c r="B165" s="25">
        <v>148.0</v>
      </c>
      <c r="C165" s="11" t="s">
        <v>181</v>
      </c>
      <c r="D165" s="10">
        <v>8.0</v>
      </c>
      <c r="E165" s="4"/>
      <c r="F165" s="4"/>
      <c r="G165" s="4"/>
      <c r="H165" s="4"/>
      <c r="I165" s="4"/>
      <c r="J165" s="4"/>
    </row>
    <row r="166" ht="15.75" customHeight="1">
      <c r="A166" s="12"/>
      <c r="B166" s="25">
        <v>149.0</v>
      </c>
      <c r="C166" s="11" t="s">
        <v>182</v>
      </c>
      <c r="D166" s="10">
        <v>8.0</v>
      </c>
      <c r="E166" s="4"/>
      <c r="F166" s="4"/>
      <c r="G166" s="4"/>
      <c r="H166" s="4"/>
      <c r="I166" s="4"/>
      <c r="J166" s="4"/>
    </row>
    <row r="167" ht="15.75" customHeight="1">
      <c r="A167" s="13"/>
      <c r="B167" s="25">
        <v>150.0</v>
      </c>
      <c r="C167" s="11" t="s">
        <v>183</v>
      </c>
      <c r="D167" s="10">
        <v>8.0</v>
      </c>
      <c r="E167" s="4"/>
      <c r="F167" s="4"/>
      <c r="G167" s="4"/>
      <c r="H167" s="4"/>
      <c r="I167" s="4"/>
      <c r="J167" s="4"/>
    </row>
    <row r="168" ht="15.75" customHeight="1">
      <c r="A168" s="14" t="s">
        <v>184</v>
      </c>
      <c r="B168" s="2"/>
      <c r="C168" s="2"/>
      <c r="D168" s="3"/>
      <c r="E168" s="4"/>
      <c r="F168" s="4"/>
      <c r="G168" s="4"/>
      <c r="H168" s="4"/>
      <c r="I168" s="4"/>
      <c r="J168" s="4"/>
    </row>
    <row r="169" ht="15.75" customHeight="1">
      <c r="A169" s="15" t="s">
        <v>185</v>
      </c>
      <c r="B169" s="25">
        <v>151.0</v>
      </c>
      <c r="C169" s="11" t="s">
        <v>186</v>
      </c>
      <c r="D169" s="10">
        <v>7.0</v>
      </c>
      <c r="E169" s="4"/>
      <c r="F169" s="4"/>
      <c r="G169" s="4"/>
      <c r="H169" s="4"/>
      <c r="I169" s="4"/>
      <c r="J169" s="4"/>
    </row>
    <row r="170" ht="15.75" customHeight="1">
      <c r="A170" s="12"/>
      <c r="B170" s="25">
        <v>152.0</v>
      </c>
      <c r="C170" s="5" t="s">
        <v>187</v>
      </c>
      <c r="D170" s="10">
        <v>7.0</v>
      </c>
      <c r="E170" s="4"/>
      <c r="F170" s="4"/>
      <c r="G170" s="4"/>
      <c r="H170" s="4"/>
      <c r="I170" s="4"/>
      <c r="J170" s="4"/>
    </row>
    <row r="171" ht="15.75" customHeight="1">
      <c r="A171" s="12"/>
      <c r="B171" s="25">
        <v>153.0</v>
      </c>
      <c r="C171" s="11" t="s">
        <v>188</v>
      </c>
      <c r="D171" s="10">
        <v>7.0</v>
      </c>
      <c r="E171" s="4"/>
      <c r="F171" s="4"/>
      <c r="G171" s="4"/>
      <c r="H171" s="4"/>
      <c r="I171" s="4"/>
      <c r="J171" s="4"/>
    </row>
    <row r="172" ht="15.75" customHeight="1">
      <c r="A172" s="12"/>
      <c r="B172" s="25">
        <v>154.0</v>
      </c>
      <c r="C172" s="5" t="s">
        <v>189</v>
      </c>
      <c r="D172" s="10">
        <v>7.0</v>
      </c>
      <c r="E172" s="4"/>
      <c r="F172" s="4"/>
      <c r="G172" s="4"/>
      <c r="H172" s="4"/>
      <c r="I172" s="4"/>
      <c r="J172" s="4"/>
    </row>
    <row r="173" ht="15.75" customHeight="1">
      <c r="A173" s="12"/>
      <c r="B173" s="25">
        <v>155.0</v>
      </c>
      <c r="C173" s="5" t="s">
        <v>190</v>
      </c>
      <c r="D173" s="10">
        <v>7.0</v>
      </c>
      <c r="E173" s="4"/>
      <c r="F173" s="4"/>
      <c r="G173" s="4"/>
      <c r="H173" s="4"/>
      <c r="I173" s="4"/>
      <c r="J173" s="4"/>
    </row>
    <row r="174" ht="15.75" customHeight="1">
      <c r="A174" s="12"/>
      <c r="B174" s="25">
        <v>156.0</v>
      </c>
      <c r="C174" s="5" t="s">
        <v>191</v>
      </c>
      <c r="D174" s="10">
        <v>7.0</v>
      </c>
      <c r="E174" s="4"/>
      <c r="F174" s="4"/>
      <c r="G174" s="4"/>
      <c r="H174" s="4"/>
      <c r="I174" s="4"/>
      <c r="J174" s="4"/>
    </row>
    <row r="175" ht="15.75" customHeight="1">
      <c r="A175" s="12"/>
      <c r="B175" s="25">
        <v>157.0</v>
      </c>
      <c r="C175" s="5" t="s">
        <v>192</v>
      </c>
      <c r="D175" s="10">
        <v>7.0</v>
      </c>
      <c r="E175" s="4"/>
      <c r="F175" s="4"/>
      <c r="G175" s="4"/>
      <c r="H175" s="4"/>
      <c r="I175" s="4"/>
      <c r="J175" s="4"/>
    </row>
    <row r="176" ht="15.75" customHeight="1">
      <c r="A176" s="12"/>
      <c r="B176" s="25">
        <v>158.0</v>
      </c>
      <c r="C176" s="5" t="s">
        <v>193</v>
      </c>
      <c r="D176" s="10">
        <v>7.0</v>
      </c>
      <c r="E176" s="4"/>
      <c r="F176" s="4"/>
      <c r="G176" s="4"/>
      <c r="H176" s="4"/>
      <c r="I176" s="4"/>
      <c r="J176" s="4"/>
    </row>
    <row r="177" ht="15.75" customHeight="1">
      <c r="A177" s="12"/>
      <c r="B177" s="25">
        <v>159.0</v>
      </c>
      <c r="C177" s="5" t="s">
        <v>194</v>
      </c>
      <c r="D177" s="10">
        <v>7.0</v>
      </c>
      <c r="E177" s="4"/>
      <c r="F177" s="4"/>
      <c r="G177" s="4"/>
      <c r="H177" s="4"/>
      <c r="I177" s="4"/>
      <c r="J177" s="4"/>
    </row>
    <row r="178" ht="15.75" customHeight="1">
      <c r="A178" s="12"/>
      <c r="B178" s="25">
        <v>160.0</v>
      </c>
      <c r="C178" s="11" t="s">
        <v>195</v>
      </c>
      <c r="D178" s="10">
        <v>7.0</v>
      </c>
      <c r="E178" s="4"/>
      <c r="F178" s="4"/>
      <c r="G178" s="4"/>
      <c r="H178" s="4"/>
      <c r="I178" s="4"/>
      <c r="J178" s="4"/>
    </row>
    <row r="179" ht="15.75" customHeight="1">
      <c r="A179" s="12"/>
      <c r="B179" s="25">
        <v>161.0</v>
      </c>
      <c r="C179" s="11" t="s">
        <v>196</v>
      </c>
      <c r="D179" s="10">
        <v>7.0</v>
      </c>
      <c r="E179" s="4"/>
      <c r="F179" s="4"/>
      <c r="G179" s="4"/>
      <c r="H179" s="4"/>
      <c r="I179" s="4"/>
      <c r="J179" s="4"/>
    </row>
    <row r="180" ht="15.75" customHeight="1">
      <c r="A180" s="12"/>
      <c r="B180" s="25">
        <v>162.0</v>
      </c>
      <c r="C180" s="11" t="s">
        <v>197</v>
      </c>
      <c r="D180" s="10">
        <v>7.0</v>
      </c>
      <c r="E180" s="4"/>
      <c r="F180" s="4"/>
      <c r="G180" s="4"/>
      <c r="H180" s="4"/>
      <c r="I180" s="4"/>
      <c r="J180" s="4"/>
    </row>
    <row r="181" ht="15.75" customHeight="1">
      <c r="A181" s="12"/>
      <c r="B181" s="25">
        <v>163.0</v>
      </c>
      <c r="C181" s="5" t="s">
        <v>198</v>
      </c>
      <c r="D181" s="10">
        <v>7.0</v>
      </c>
      <c r="E181" s="4"/>
      <c r="F181" s="4"/>
      <c r="G181" s="4"/>
      <c r="H181" s="4"/>
      <c r="I181" s="4"/>
      <c r="J181" s="4"/>
    </row>
    <row r="182" ht="15.75" customHeight="1">
      <c r="A182" s="12"/>
      <c r="B182" s="25">
        <v>164.0</v>
      </c>
      <c r="C182" s="5" t="s">
        <v>199</v>
      </c>
      <c r="D182" s="10">
        <v>7.0</v>
      </c>
      <c r="E182" s="4"/>
      <c r="F182" s="4"/>
      <c r="G182" s="4"/>
      <c r="H182" s="4"/>
      <c r="I182" s="4"/>
      <c r="J182" s="4"/>
    </row>
    <row r="183" ht="15.75" customHeight="1">
      <c r="A183" s="13"/>
      <c r="B183" s="25">
        <v>165.0</v>
      </c>
      <c r="C183" s="11" t="s">
        <v>200</v>
      </c>
      <c r="D183" s="10">
        <v>7.0</v>
      </c>
      <c r="E183" s="4"/>
      <c r="F183" s="4"/>
      <c r="G183" s="4"/>
      <c r="H183" s="4"/>
      <c r="I183" s="4"/>
      <c r="J183" s="4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2">
    <mergeCell ref="A1:D1"/>
    <mergeCell ref="A3:D3"/>
    <mergeCell ref="A4:A17"/>
    <mergeCell ref="A18:D18"/>
    <mergeCell ref="A19:A27"/>
    <mergeCell ref="A28:D28"/>
    <mergeCell ref="A36:D36"/>
    <mergeCell ref="A103:A113"/>
    <mergeCell ref="A115:A126"/>
    <mergeCell ref="A128:A138"/>
    <mergeCell ref="A140:A153"/>
    <mergeCell ref="A155:A167"/>
    <mergeCell ref="A169:A183"/>
    <mergeCell ref="A29:A35"/>
    <mergeCell ref="A37:A45"/>
    <mergeCell ref="A47:A56"/>
    <mergeCell ref="A58:A62"/>
    <mergeCell ref="A66:A76"/>
    <mergeCell ref="A79:A90"/>
    <mergeCell ref="A92:A101"/>
    <mergeCell ref="A114:D114"/>
    <mergeCell ref="A127:D127"/>
    <mergeCell ref="A139:D139"/>
    <mergeCell ref="A154:D154"/>
    <mergeCell ref="A168:D168"/>
    <mergeCell ref="A46:D46"/>
    <mergeCell ref="A57:D57"/>
    <mergeCell ref="A64:D64"/>
    <mergeCell ref="A65:D65"/>
    <mergeCell ref="A78:D78"/>
    <mergeCell ref="A91:D91"/>
    <mergeCell ref="A102:D10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22.13"/>
    <col customWidth="1" min="2" max="2" width="13.13"/>
    <col customWidth="1" min="3" max="4" width="19.63"/>
    <col customWidth="1" min="5" max="10" width="10.75"/>
    <col customWidth="1" min="11" max="25" width="14.38"/>
  </cols>
  <sheetData>
    <row r="1" ht="31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</row>
    <row r="2" ht="15.0" customHeight="1">
      <c r="A2" s="5" t="s">
        <v>1</v>
      </c>
      <c r="B2" s="5" t="s">
        <v>2</v>
      </c>
      <c r="C2" s="5" t="s">
        <v>3</v>
      </c>
      <c r="D2" s="5" t="s">
        <v>201</v>
      </c>
      <c r="E2" s="4"/>
      <c r="F2" s="4"/>
      <c r="G2" s="4"/>
      <c r="H2" s="4"/>
      <c r="I2" s="4"/>
      <c r="J2" s="4"/>
    </row>
    <row r="3">
      <c r="A3" s="29" t="s">
        <v>202</v>
      </c>
      <c r="B3" s="7"/>
      <c r="C3" s="7"/>
      <c r="D3" s="8"/>
      <c r="E3" s="4"/>
      <c r="F3" s="4"/>
      <c r="G3" s="4"/>
      <c r="H3" s="4"/>
      <c r="I3" s="4"/>
      <c r="J3" s="4"/>
    </row>
    <row r="4">
      <c r="A4" s="30" t="s">
        <v>203</v>
      </c>
      <c r="B4" s="10">
        <v>1.0</v>
      </c>
      <c r="C4" s="11" t="s">
        <v>7</v>
      </c>
      <c r="D4" s="25"/>
      <c r="E4" s="4"/>
      <c r="F4" s="4"/>
      <c r="G4" s="4"/>
      <c r="H4" s="4"/>
      <c r="I4" s="4"/>
      <c r="J4" s="4"/>
    </row>
    <row r="5">
      <c r="A5" s="12"/>
      <c r="B5" s="10">
        <v>2.0</v>
      </c>
      <c r="C5" s="5" t="s">
        <v>8</v>
      </c>
      <c r="D5" s="31"/>
      <c r="E5" s="4"/>
      <c r="F5" s="4"/>
      <c r="G5" s="4"/>
      <c r="H5" s="4"/>
      <c r="I5" s="4"/>
      <c r="J5" s="4"/>
    </row>
    <row r="6">
      <c r="A6" s="12"/>
      <c r="B6" s="10">
        <v>3.0</v>
      </c>
      <c r="C6" s="5" t="s">
        <v>9</v>
      </c>
      <c r="D6" s="5"/>
      <c r="E6" s="4"/>
      <c r="F6" s="4"/>
      <c r="G6" s="4"/>
      <c r="H6" s="4"/>
      <c r="I6" s="4"/>
      <c r="J6" s="4"/>
    </row>
    <row r="7">
      <c r="A7" s="12"/>
      <c r="B7" s="10">
        <v>4.0</v>
      </c>
      <c r="C7" s="5" t="s">
        <v>10</v>
      </c>
      <c r="D7" s="5"/>
      <c r="E7" s="4"/>
      <c r="F7" s="4"/>
      <c r="G7" s="4"/>
      <c r="H7" s="4"/>
      <c r="I7" s="4"/>
      <c r="J7" s="4"/>
    </row>
    <row r="8">
      <c r="A8" s="12"/>
      <c r="B8" s="10">
        <v>5.0</v>
      </c>
      <c r="C8" s="11" t="s">
        <v>11</v>
      </c>
      <c r="D8" s="5"/>
      <c r="E8" s="4"/>
      <c r="F8" s="4"/>
      <c r="G8" s="4"/>
      <c r="H8" s="4"/>
      <c r="I8" s="4"/>
      <c r="J8" s="4"/>
    </row>
    <row r="9">
      <c r="A9" s="12"/>
      <c r="B9" s="10">
        <v>6.0</v>
      </c>
      <c r="C9" s="11" t="s">
        <v>12</v>
      </c>
      <c r="D9" s="5"/>
      <c r="E9" s="4"/>
      <c r="F9" s="4"/>
      <c r="G9" s="4"/>
      <c r="H9" s="4"/>
      <c r="I9" s="4"/>
      <c r="J9" s="4"/>
    </row>
    <row r="10">
      <c r="A10" s="12"/>
      <c r="B10" s="10">
        <v>7.0</v>
      </c>
      <c r="C10" s="5" t="s">
        <v>13</v>
      </c>
      <c r="D10" s="5"/>
      <c r="E10" s="4"/>
      <c r="F10" s="4"/>
      <c r="G10" s="4"/>
      <c r="H10" s="4"/>
      <c r="I10" s="4"/>
      <c r="J10" s="4"/>
    </row>
    <row r="11">
      <c r="A11" s="12"/>
      <c r="B11" s="10">
        <v>8.0</v>
      </c>
      <c r="C11" s="5" t="s">
        <v>14</v>
      </c>
      <c r="D11" s="5"/>
      <c r="E11" s="4"/>
      <c r="F11" s="4"/>
      <c r="G11" s="4"/>
      <c r="H11" s="4"/>
      <c r="I11" s="4"/>
      <c r="J11" s="4"/>
    </row>
    <row r="12">
      <c r="A12" s="12"/>
      <c r="B12" s="10">
        <v>9.0</v>
      </c>
      <c r="C12" s="5" t="s">
        <v>15</v>
      </c>
      <c r="D12" s="5"/>
      <c r="E12" s="4"/>
      <c r="F12" s="4"/>
      <c r="G12" s="4"/>
      <c r="H12" s="4"/>
      <c r="I12" s="4"/>
      <c r="J12" s="4"/>
    </row>
    <row r="13">
      <c r="A13" s="12"/>
      <c r="B13" s="10">
        <v>10.0</v>
      </c>
      <c r="C13" s="5" t="s">
        <v>16</v>
      </c>
      <c r="D13" s="5"/>
      <c r="E13" s="4"/>
      <c r="F13" s="4"/>
      <c r="G13" s="4"/>
      <c r="H13" s="4"/>
      <c r="I13" s="4"/>
      <c r="J13" s="4"/>
    </row>
    <row r="14">
      <c r="A14" s="12"/>
      <c r="B14" s="10">
        <v>11.0</v>
      </c>
      <c r="C14" s="11" t="s">
        <v>17</v>
      </c>
      <c r="D14" s="5"/>
      <c r="E14" s="4"/>
      <c r="F14" s="4"/>
      <c r="G14" s="4"/>
      <c r="H14" s="4"/>
      <c r="I14" s="4"/>
      <c r="J14" s="4"/>
    </row>
    <row r="15">
      <c r="A15" s="12"/>
      <c r="B15" s="10">
        <v>12.0</v>
      </c>
      <c r="C15" s="5" t="s">
        <v>18</v>
      </c>
      <c r="D15" s="5"/>
      <c r="E15" s="4"/>
      <c r="F15" s="4"/>
      <c r="G15" s="4"/>
      <c r="H15" s="4"/>
      <c r="I15" s="4"/>
      <c r="J15" s="4"/>
    </row>
    <row r="16">
      <c r="A16" s="12"/>
      <c r="B16" s="10">
        <v>13.0</v>
      </c>
      <c r="C16" s="5" t="s">
        <v>19</v>
      </c>
      <c r="D16" s="5"/>
      <c r="E16" s="4"/>
      <c r="F16" s="4"/>
      <c r="G16" s="4"/>
      <c r="H16" s="4"/>
      <c r="I16" s="4"/>
      <c r="J16" s="4"/>
    </row>
    <row r="17">
      <c r="A17" s="12"/>
      <c r="B17" s="10">
        <v>14.0</v>
      </c>
      <c r="C17" s="11" t="s">
        <v>20</v>
      </c>
      <c r="D17" s="5"/>
      <c r="E17" s="4"/>
      <c r="F17" s="4"/>
      <c r="G17" s="4"/>
      <c r="H17" s="4"/>
      <c r="I17" s="4"/>
      <c r="J17" s="4"/>
    </row>
    <row r="18">
      <c r="A18" s="29" t="s">
        <v>204</v>
      </c>
      <c r="B18" s="7"/>
      <c r="C18" s="7"/>
      <c r="D18" s="8"/>
      <c r="E18" s="4"/>
      <c r="F18" s="4"/>
      <c r="G18" s="4"/>
      <c r="H18" s="4"/>
      <c r="I18" s="4"/>
      <c r="J18" s="4"/>
    </row>
    <row r="19" ht="18.75" customHeight="1">
      <c r="A19" s="30" t="s">
        <v>205</v>
      </c>
      <c r="B19" s="10">
        <v>15.0</v>
      </c>
      <c r="C19" s="11" t="s">
        <v>23</v>
      </c>
      <c r="D19" s="5"/>
      <c r="E19" s="4"/>
      <c r="F19" s="4"/>
      <c r="G19" s="4"/>
      <c r="H19" s="4"/>
      <c r="I19" s="4"/>
      <c r="J19" s="4"/>
    </row>
    <row r="20" ht="18.75" customHeight="1">
      <c r="A20" s="12"/>
      <c r="B20" s="10">
        <v>16.0</v>
      </c>
      <c r="C20" s="5" t="s">
        <v>24</v>
      </c>
      <c r="D20" s="5"/>
      <c r="E20" s="4"/>
      <c r="F20" s="4"/>
      <c r="G20" s="4"/>
      <c r="H20" s="4"/>
      <c r="I20" s="4"/>
      <c r="J20" s="4"/>
    </row>
    <row r="21" ht="18.75" customHeight="1">
      <c r="A21" s="12"/>
      <c r="B21" s="10">
        <v>17.0</v>
      </c>
      <c r="C21" s="5" t="s">
        <v>25</v>
      </c>
      <c r="D21" s="5"/>
      <c r="E21" s="4"/>
      <c r="F21" s="4"/>
      <c r="G21" s="4"/>
      <c r="H21" s="4"/>
      <c r="I21" s="4"/>
      <c r="J21" s="4"/>
    </row>
    <row r="22" ht="18.75" customHeight="1">
      <c r="A22" s="12"/>
      <c r="B22" s="10">
        <v>18.0</v>
      </c>
      <c r="C22" s="11" t="s">
        <v>26</v>
      </c>
      <c r="D22" s="5"/>
      <c r="E22" s="4"/>
      <c r="F22" s="4"/>
      <c r="G22" s="4"/>
      <c r="H22" s="4"/>
      <c r="I22" s="4"/>
      <c r="J22" s="4"/>
    </row>
    <row r="23" ht="18.75" customHeight="1">
      <c r="A23" s="12"/>
      <c r="B23" s="10">
        <v>19.0</v>
      </c>
      <c r="C23" s="11" t="s">
        <v>27</v>
      </c>
      <c r="D23" s="5"/>
      <c r="E23" s="4"/>
      <c r="F23" s="4"/>
      <c r="G23" s="4"/>
      <c r="H23" s="4"/>
      <c r="I23" s="4"/>
      <c r="J23" s="4"/>
    </row>
    <row r="24" ht="18.75" customHeight="1">
      <c r="A24" s="12"/>
      <c r="B24" s="10">
        <v>20.0</v>
      </c>
      <c r="C24" s="11" t="s">
        <v>28</v>
      </c>
      <c r="D24" s="5"/>
      <c r="E24" s="4"/>
      <c r="F24" s="4"/>
      <c r="G24" s="4"/>
      <c r="H24" s="4"/>
      <c r="I24" s="4"/>
      <c r="J24" s="4"/>
    </row>
    <row r="25" ht="18.75" customHeight="1">
      <c r="A25" s="12"/>
      <c r="B25" s="10">
        <v>21.0</v>
      </c>
      <c r="C25" s="5" t="s">
        <v>29</v>
      </c>
      <c r="D25" s="5"/>
      <c r="E25" s="4"/>
      <c r="F25" s="4"/>
      <c r="G25" s="4"/>
      <c r="H25" s="4"/>
      <c r="I25" s="4"/>
      <c r="J25" s="4"/>
    </row>
    <row r="26" ht="18.75" customHeight="1">
      <c r="A26" s="12"/>
      <c r="B26" s="10">
        <v>22.0</v>
      </c>
      <c r="C26" s="11" t="s">
        <v>30</v>
      </c>
      <c r="D26" s="5"/>
      <c r="E26" s="4"/>
      <c r="F26" s="4"/>
      <c r="G26" s="4"/>
      <c r="H26" s="4"/>
      <c r="I26" s="4"/>
      <c r="J26" s="4"/>
    </row>
    <row r="27" ht="18.75" customHeight="1">
      <c r="A27" s="12"/>
      <c r="B27" s="10">
        <v>23.0</v>
      </c>
      <c r="C27" s="5" t="s">
        <v>31</v>
      </c>
      <c r="D27" s="5"/>
      <c r="E27" s="4"/>
      <c r="F27" s="4"/>
      <c r="G27" s="4"/>
      <c r="H27" s="4"/>
      <c r="I27" s="4"/>
      <c r="J27" s="4"/>
    </row>
    <row r="28" ht="15.75" customHeight="1">
      <c r="A28" s="28" t="s">
        <v>206</v>
      </c>
      <c r="B28" s="2"/>
      <c r="C28" s="2"/>
      <c r="D28" s="3"/>
      <c r="E28" s="4"/>
      <c r="F28" s="4"/>
      <c r="G28" s="4"/>
      <c r="H28" s="4"/>
      <c r="I28" s="4"/>
      <c r="J28" s="4"/>
    </row>
    <row r="29" ht="29.25" customHeight="1">
      <c r="A29" s="32" t="s">
        <v>207</v>
      </c>
      <c r="B29" s="16">
        <v>24.0</v>
      </c>
      <c r="C29" s="17" t="s">
        <v>34</v>
      </c>
      <c r="D29" s="17"/>
      <c r="E29" s="18"/>
      <c r="F29" s="18"/>
      <c r="G29" s="18"/>
      <c r="H29" s="18"/>
      <c r="I29" s="18"/>
      <c r="J29" s="18"/>
    </row>
    <row r="30" ht="29.25" customHeight="1">
      <c r="A30" s="12"/>
      <c r="B30" s="16">
        <v>25.0</v>
      </c>
      <c r="C30" s="19" t="s">
        <v>35</v>
      </c>
      <c r="D30" s="17"/>
      <c r="E30" s="18"/>
      <c r="F30" s="18"/>
      <c r="G30" s="18"/>
      <c r="H30" s="18"/>
      <c r="I30" s="18"/>
      <c r="J30" s="18"/>
    </row>
    <row r="31" ht="29.25" customHeight="1">
      <c r="A31" s="12"/>
      <c r="B31" s="16">
        <v>26.0</v>
      </c>
      <c r="C31" s="19" t="s">
        <v>36</v>
      </c>
      <c r="D31" s="17"/>
      <c r="E31" s="18"/>
      <c r="F31" s="18"/>
      <c r="G31" s="18"/>
      <c r="H31" s="18"/>
      <c r="I31" s="18"/>
      <c r="J31" s="18"/>
    </row>
    <row r="32" ht="29.25" customHeight="1">
      <c r="A32" s="12"/>
      <c r="B32" s="16">
        <v>27.0</v>
      </c>
      <c r="C32" s="17" t="s">
        <v>37</v>
      </c>
      <c r="D32" s="17"/>
      <c r="E32" s="18"/>
      <c r="F32" s="18"/>
      <c r="G32" s="18"/>
      <c r="H32" s="18"/>
      <c r="I32" s="18"/>
      <c r="J32" s="18"/>
    </row>
    <row r="33" ht="29.25" customHeight="1">
      <c r="A33" s="12"/>
      <c r="B33" s="16">
        <v>28.0</v>
      </c>
      <c r="C33" s="17" t="s">
        <v>38</v>
      </c>
      <c r="D33" s="17"/>
      <c r="E33" s="18"/>
      <c r="F33" s="18"/>
      <c r="G33" s="18"/>
      <c r="H33" s="18"/>
      <c r="I33" s="18"/>
      <c r="J33" s="18"/>
    </row>
    <row r="34" ht="29.25" customHeight="1">
      <c r="A34" s="12"/>
      <c r="B34" s="16">
        <v>29.0</v>
      </c>
      <c r="C34" s="19" t="s">
        <v>39</v>
      </c>
      <c r="D34" s="17"/>
      <c r="E34" s="18"/>
      <c r="F34" s="18"/>
      <c r="G34" s="18"/>
      <c r="H34" s="18"/>
      <c r="I34" s="18"/>
      <c r="J34" s="18"/>
    </row>
    <row r="35" ht="29.25" customHeight="1">
      <c r="A35" s="13"/>
      <c r="B35" s="16">
        <v>30.0</v>
      </c>
      <c r="C35" s="17" t="s">
        <v>40</v>
      </c>
      <c r="D35" s="17"/>
      <c r="E35" s="18"/>
      <c r="F35" s="18"/>
      <c r="G35" s="18"/>
      <c r="H35" s="18"/>
      <c r="I35" s="18"/>
      <c r="J35" s="18"/>
    </row>
    <row r="36" ht="15.75" customHeight="1">
      <c r="A36" s="28" t="s">
        <v>208</v>
      </c>
      <c r="B36" s="2"/>
      <c r="C36" s="2"/>
      <c r="D36" s="3"/>
      <c r="E36" s="4"/>
      <c r="F36" s="4"/>
      <c r="G36" s="4"/>
      <c r="H36" s="4"/>
      <c r="I36" s="4"/>
      <c r="J36" s="4"/>
    </row>
    <row r="37" ht="19.5" customHeight="1">
      <c r="A37" s="32" t="s">
        <v>209</v>
      </c>
      <c r="B37" s="10">
        <v>31.0</v>
      </c>
      <c r="C37" s="5" t="s">
        <v>43</v>
      </c>
      <c r="D37" s="5"/>
      <c r="E37" s="4"/>
      <c r="F37" s="4"/>
      <c r="G37" s="4"/>
      <c r="H37" s="4"/>
      <c r="I37" s="4"/>
      <c r="J37" s="4"/>
    </row>
    <row r="38" ht="19.5" customHeight="1">
      <c r="A38" s="12"/>
      <c r="B38" s="10">
        <v>32.0</v>
      </c>
      <c r="C38" s="5" t="s">
        <v>44</v>
      </c>
      <c r="D38" s="5"/>
      <c r="E38" s="4"/>
      <c r="F38" s="4"/>
      <c r="G38" s="4"/>
      <c r="H38" s="4"/>
      <c r="I38" s="4"/>
      <c r="J38" s="4"/>
    </row>
    <row r="39" ht="19.5" customHeight="1">
      <c r="A39" s="12"/>
      <c r="B39" s="10">
        <v>33.0</v>
      </c>
      <c r="C39" s="5" t="s">
        <v>45</v>
      </c>
      <c r="D39" s="5"/>
      <c r="E39" s="4"/>
      <c r="F39" s="4"/>
      <c r="G39" s="4"/>
      <c r="H39" s="4"/>
      <c r="I39" s="4"/>
      <c r="J39" s="4"/>
    </row>
    <row r="40" ht="19.5" customHeight="1">
      <c r="A40" s="12"/>
      <c r="B40" s="10">
        <v>34.0</v>
      </c>
      <c r="C40" s="5" t="s">
        <v>46</v>
      </c>
      <c r="D40" s="5"/>
      <c r="E40" s="4"/>
      <c r="F40" s="4"/>
      <c r="G40" s="4"/>
      <c r="H40" s="4"/>
      <c r="I40" s="4"/>
      <c r="J40" s="4"/>
    </row>
    <row r="41" ht="19.5" customHeight="1">
      <c r="A41" s="12"/>
      <c r="B41" s="10">
        <v>35.0</v>
      </c>
      <c r="C41" s="5" t="s">
        <v>47</v>
      </c>
      <c r="D41" s="5"/>
      <c r="E41" s="4"/>
      <c r="F41" s="4"/>
      <c r="G41" s="4"/>
      <c r="H41" s="4"/>
      <c r="I41" s="4"/>
      <c r="J41" s="4"/>
    </row>
    <row r="42" ht="19.5" customHeight="1">
      <c r="A42" s="12"/>
      <c r="B42" s="10">
        <v>36.0</v>
      </c>
      <c r="C42" s="5" t="s">
        <v>48</v>
      </c>
      <c r="D42" s="5"/>
      <c r="E42" s="4"/>
      <c r="F42" s="4"/>
      <c r="G42" s="4"/>
      <c r="H42" s="4"/>
      <c r="I42" s="4"/>
      <c r="J42" s="4"/>
    </row>
    <row r="43" ht="19.5" customHeight="1">
      <c r="A43" s="12"/>
      <c r="B43" s="10">
        <v>37.0</v>
      </c>
      <c r="C43" s="5" t="s">
        <v>49</v>
      </c>
      <c r="D43" s="5"/>
      <c r="E43" s="4"/>
      <c r="F43" s="4"/>
      <c r="G43" s="4"/>
      <c r="H43" s="4"/>
      <c r="I43" s="4"/>
      <c r="J43" s="4"/>
    </row>
    <row r="44" ht="19.5" customHeight="1">
      <c r="A44" s="12"/>
      <c r="B44" s="10">
        <v>38.0</v>
      </c>
      <c r="C44" s="5" t="s">
        <v>50</v>
      </c>
      <c r="D44" s="5"/>
      <c r="E44" s="4"/>
      <c r="F44" s="4"/>
      <c r="G44" s="4"/>
      <c r="H44" s="4"/>
      <c r="I44" s="4"/>
      <c r="J44" s="4"/>
    </row>
    <row r="45" ht="19.5" customHeight="1">
      <c r="A45" s="13"/>
      <c r="B45" s="10">
        <v>39.0</v>
      </c>
      <c r="C45" s="5" t="s">
        <v>51</v>
      </c>
      <c r="D45" s="5"/>
      <c r="E45" s="4"/>
      <c r="F45" s="4"/>
      <c r="G45" s="4"/>
      <c r="H45" s="4"/>
      <c r="I45" s="4"/>
      <c r="J45" s="4"/>
    </row>
    <row r="46" ht="15.75" customHeight="1">
      <c r="A46" s="28" t="s">
        <v>210</v>
      </c>
      <c r="B46" s="2"/>
      <c r="C46" s="2"/>
      <c r="D46" s="3"/>
      <c r="E46" s="4"/>
      <c r="F46" s="4"/>
      <c r="G46" s="4"/>
      <c r="H46" s="4"/>
      <c r="I46" s="4"/>
      <c r="J46" s="4"/>
    </row>
    <row r="47" ht="18.0" customHeight="1">
      <c r="A47" s="32" t="s">
        <v>211</v>
      </c>
      <c r="B47" s="10">
        <v>40.0</v>
      </c>
      <c r="C47" s="11" t="s">
        <v>54</v>
      </c>
      <c r="D47" s="5"/>
      <c r="E47" s="4"/>
      <c r="F47" s="4"/>
      <c r="G47" s="4"/>
      <c r="H47" s="4"/>
      <c r="I47" s="4"/>
      <c r="J47" s="4"/>
    </row>
    <row r="48" ht="18.0" customHeight="1">
      <c r="A48" s="12"/>
      <c r="B48" s="10">
        <v>41.0</v>
      </c>
      <c r="C48" s="11" t="s">
        <v>55</v>
      </c>
      <c r="D48" s="5"/>
      <c r="E48" s="4"/>
      <c r="F48" s="4"/>
      <c r="G48" s="4"/>
      <c r="H48" s="4"/>
      <c r="I48" s="4"/>
      <c r="J48" s="4"/>
    </row>
    <row r="49" ht="18.0" customHeight="1">
      <c r="A49" s="12"/>
      <c r="B49" s="10">
        <v>42.0</v>
      </c>
      <c r="C49" s="5" t="s">
        <v>56</v>
      </c>
      <c r="D49" s="5"/>
      <c r="E49" s="4"/>
      <c r="F49" s="4"/>
      <c r="G49" s="4"/>
      <c r="H49" s="4"/>
      <c r="I49" s="4"/>
      <c r="J49" s="4"/>
    </row>
    <row r="50" ht="18.0" customHeight="1">
      <c r="A50" s="12"/>
      <c r="B50" s="10">
        <v>43.0</v>
      </c>
      <c r="C50" s="5" t="s">
        <v>57</v>
      </c>
      <c r="D50" s="5"/>
      <c r="E50" s="4"/>
      <c r="F50" s="4"/>
      <c r="G50" s="4"/>
      <c r="H50" s="4"/>
      <c r="I50" s="4"/>
      <c r="J50" s="4"/>
    </row>
    <row r="51" ht="18.0" customHeight="1">
      <c r="A51" s="12"/>
      <c r="B51" s="10">
        <v>44.0</v>
      </c>
      <c r="C51" s="5" t="s">
        <v>58</v>
      </c>
      <c r="D51" s="5"/>
      <c r="E51" s="4"/>
      <c r="F51" s="4"/>
      <c r="G51" s="4"/>
      <c r="H51" s="4"/>
      <c r="I51" s="4"/>
      <c r="J51" s="4"/>
    </row>
    <row r="52" ht="18.0" customHeight="1">
      <c r="A52" s="12"/>
      <c r="B52" s="10">
        <v>45.0</v>
      </c>
      <c r="C52" s="5" t="s">
        <v>59</v>
      </c>
      <c r="D52" s="5"/>
      <c r="E52" s="4"/>
      <c r="F52" s="4"/>
      <c r="G52" s="4"/>
      <c r="H52" s="4"/>
      <c r="I52" s="4"/>
      <c r="J52" s="4"/>
    </row>
    <row r="53" ht="18.0" customHeight="1">
      <c r="A53" s="12"/>
      <c r="B53" s="10">
        <v>46.0</v>
      </c>
      <c r="C53" s="11" t="s">
        <v>60</v>
      </c>
      <c r="D53" s="5"/>
      <c r="E53" s="4"/>
      <c r="F53" s="4"/>
      <c r="G53" s="4"/>
      <c r="H53" s="4"/>
      <c r="I53" s="4"/>
      <c r="J53" s="4"/>
    </row>
    <row r="54" ht="18.0" customHeight="1">
      <c r="A54" s="12"/>
      <c r="B54" s="10">
        <v>47.0</v>
      </c>
      <c r="C54" s="5" t="s">
        <v>61</v>
      </c>
      <c r="D54" s="5"/>
      <c r="E54" s="4"/>
      <c r="F54" s="4"/>
      <c r="G54" s="4"/>
      <c r="H54" s="4"/>
      <c r="I54" s="4"/>
      <c r="J54" s="4"/>
    </row>
    <row r="55" ht="18.0" customHeight="1">
      <c r="A55" s="12"/>
      <c r="B55" s="10">
        <v>48.0</v>
      </c>
      <c r="C55" s="5" t="s">
        <v>62</v>
      </c>
      <c r="D55" s="5"/>
      <c r="E55" s="4"/>
      <c r="F55" s="4"/>
      <c r="G55" s="4"/>
      <c r="H55" s="4"/>
      <c r="I55" s="4"/>
      <c r="J55" s="4"/>
    </row>
    <row r="56" ht="18.0" customHeight="1">
      <c r="A56" s="13"/>
      <c r="B56" s="10">
        <v>49.0</v>
      </c>
      <c r="C56" s="11" t="s">
        <v>63</v>
      </c>
      <c r="D56" s="5"/>
      <c r="E56" s="4"/>
      <c r="F56" s="4"/>
      <c r="G56" s="4"/>
      <c r="H56" s="4"/>
      <c r="I56" s="4"/>
      <c r="J56" s="4"/>
    </row>
    <row r="57" ht="15.75" customHeight="1">
      <c r="A57" s="28" t="s">
        <v>212</v>
      </c>
      <c r="B57" s="2"/>
      <c r="C57" s="2"/>
      <c r="D57" s="3"/>
      <c r="E57" s="4"/>
      <c r="F57" s="4"/>
      <c r="G57" s="4"/>
      <c r="H57" s="4"/>
      <c r="I57" s="4"/>
      <c r="J57" s="4"/>
    </row>
    <row r="58" ht="25.5" customHeight="1">
      <c r="A58" s="32" t="s">
        <v>213</v>
      </c>
      <c r="B58" s="10">
        <v>50.0</v>
      </c>
      <c r="C58" s="11" t="s">
        <v>66</v>
      </c>
      <c r="D58" s="5"/>
      <c r="E58" s="4"/>
      <c r="F58" s="4"/>
      <c r="G58" s="4"/>
      <c r="H58" s="4"/>
      <c r="I58" s="4"/>
      <c r="J58" s="4"/>
    </row>
    <row r="59" ht="25.5" customHeight="1">
      <c r="A59" s="12"/>
      <c r="B59" s="10">
        <v>51.0</v>
      </c>
      <c r="C59" s="11" t="s">
        <v>67</v>
      </c>
      <c r="D59" s="5"/>
      <c r="E59" s="4"/>
      <c r="F59" s="4"/>
      <c r="G59" s="4"/>
      <c r="H59" s="4"/>
      <c r="I59" s="4"/>
      <c r="J59" s="4"/>
    </row>
    <row r="60" ht="25.5" customHeight="1">
      <c r="A60" s="12"/>
      <c r="B60" s="10">
        <v>52.0</v>
      </c>
      <c r="C60" s="5" t="s">
        <v>68</v>
      </c>
      <c r="D60" s="5"/>
      <c r="E60" s="4"/>
      <c r="F60" s="4"/>
      <c r="G60" s="4"/>
      <c r="H60" s="4"/>
      <c r="I60" s="4"/>
      <c r="J60" s="4"/>
    </row>
    <row r="61" ht="25.5" customHeight="1">
      <c r="A61" s="12"/>
      <c r="B61" s="10">
        <v>53.0</v>
      </c>
      <c r="C61" s="11" t="s">
        <v>69</v>
      </c>
      <c r="D61" s="5"/>
      <c r="E61" s="4"/>
      <c r="F61" s="4"/>
      <c r="G61" s="4"/>
      <c r="H61" s="4"/>
      <c r="I61" s="4"/>
      <c r="J61" s="4"/>
    </row>
    <row r="62" ht="25.5" customHeight="1">
      <c r="A62" s="13"/>
      <c r="B62" s="10">
        <v>54.0</v>
      </c>
      <c r="C62" s="11" t="s">
        <v>70</v>
      </c>
      <c r="D62" s="5"/>
      <c r="E62" s="4"/>
      <c r="F62" s="4"/>
      <c r="G62" s="4"/>
      <c r="H62" s="4"/>
      <c r="I62" s="4"/>
      <c r="J62" s="4"/>
    </row>
    <row r="63" ht="25.5" customHeight="1">
      <c r="A63" s="33"/>
      <c r="B63" s="25">
        <v>55.0</v>
      </c>
      <c r="C63" s="11" t="s">
        <v>71</v>
      </c>
      <c r="D63" s="5"/>
      <c r="E63" s="4"/>
      <c r="F63" s="4"/>
      <c r="G63" s="4"/>
      <c r="H63" s="4"/>
      <c r="I63" s="4"/>
      <c r="J63" s="4"/>
    </row>
    <row r="64" ht="25.5" customHeight="1">
      <c r="A64" s="1" t="s">
        <v>72</v>
      </c>
      <c r="B64" s="2"/>
      <c r="C64" s="2"/>
      <c r="D64" s="3"/>
      <c r="E64" s="4"/>
      <c r="F64" s="4"/>
      <c r="G64" s="4"/>
      <c r="H64" s="4"/>
      <c r="I64" s="4"/>
      <c r="J64" s="4"/>
    </row>
    <row r="65" ht="15.75" customHeight="1">
      <c r="A65" s="34" t="s">
        <v>214</v>
      </c>
      <c r="B65" s="2"/>
      <c r="C65" s="2"/>
      <c r="D65" s="2"/>
      <c r="E65" s="4"/>
      <c r="F65" s="4"/>
      <c r="G65" s="4"/>
      <c r="H65" s="4"/>
      <c r="I65" s="4"/>
      <c r="J65" s="4"/>
    </row>
    <row r="66" ht="19.5" customHeight="1">
      <c r="A66" s="30" t="s">
        <v>215</v>
      </c>
      <c r="B66" s="25">
        <v>56.0</v>
      </c>
      <c r="C66" s="11" t="s">
        <v>75</v>
      </c>
      <c r="D66" s="5"/>
      <c r="E66" s="4"/>
      <c r="F66" s="4"/>
      <c r="G66" s="4"/>
      <c r="H66" s="4"/>
      <c r="I66" s="4"/>
      <c r="J66" s="4"/>
    </row>
    <row r="67" ht="19.5" customHeight="1">
      <c r="A67" s="12"/>
      <c r="B67" s="25">
        <v>57.0</v>
      </c>
      <c r="C67" s="11" t="s">
        <v>76</v>
      </c>
      <c r="D67" s="5"/>
      <c r="E67" s="4"/>
      <c r="F67" s="4"/>
      <c r="G67" s="4"/>
      <c r="H67" s="4"/>
      <c r="I67" s="4"/>
      <c r="J67" s="4"/>
    </row>
    <row r="68" ht="19.5" customHeight="1">
      <c r="A68" s="12"/>
      <c r="B68" s="25">
        <v>58.0</v>
      </c>
      <c r="C68" s="11" t="s">
        <v>77</v>
      </c>
      <c r="D68" s="5"/>
      <c r="E68" s="4"/>
      <c r="F68" s="4"/>
      <c r="G68" s="4"/>
      <c r="H68" s="4"/>
      <c r="I68" s="4"/>
      <c r="J68" s="4"/>
    </row>
    <row r="69" ht="19.5" customHeight="1">
      <c r="A69" s="12"/>
      <c r="B69" s="25">
        <v>59.0</v>
      </c>
      <c r="C69" s="5" t="s">
        <v>78</v>
      </c>
      <c r="D69" s="5"/>
      <c r="E69" s="4"/>
      <c r="F69" s="4"/>
      <c r="G69" s="4"/>
      <c r="H69" s="4"/>
      <c r="I69" s="4"/>
      <c r="J69" s="4"/>
    </row>
    <row r="70" ht="19.5" customHeight="1">
      <c r="A70" s="12"/>
      <c r="B70" s="25">
        <v>60.0</v>
      </c>
      <c r="C70" s="5" t="s">
        <v>79</v>
      </c>
      <c r="D70" s="5"/>
      <c r="E70" s="4"/>
      <c r="F70" s="4"/>
      <c r="G70" s="4"/>
      <c r="H70" s="4"/>
      <c r="I70" s="4"/>
      <c r="J70" s="4"/>
    </row>
    <row r="71" ht="19.5" customHeight="1">
      <c r="A71" s="12"/>
      <c r="B71" s="25">
        <v>61.0</v>
      </c>
      <c r="C71" s="5" t="s">
        <v>80</v>
      </c>
      <c r="D71" s="5"/>
      <c r="E71" s="4"/>
      <c r="F71" s="4"/>
      <c r="G71" s="4"/>
      <c r="H71" s="4"/>
      <c r="I71" s="4"/>
      <c r="J71" s="4"/>
    </row>
    <row r="72" ht="19.5" customHeight="1">
      <c r="A72" s="12"/>
      <c r="B72" s="25">
        <v>62.0</v>
      </c>
      <c r="C72" s="11" t="s">
        <v>81</v>
      </c>
      <c r="D72" s="5"/>
      <c r="E72" s="4"/>
      <c r="F72" s="4"/>
      <c r="G72" s="4"/>
      <c r="H72" s="4"/>
      <c r="I72" s="4"/>
      <c r="J72" s="4"/>
    </row>
    <row r="73" ht="19.5" customHeight="1">
      <c r="A73" s="12"/>
      <c r="B73" s="25">
        <v>63.0</v>
      </c>
      <c r="C73" s="5" t="s">
        <v>82</v>
      </c>
      <c r="D73" s="5"/>
      <c r="E73" s="4"/>
      <c r="F73" s="4"/>
      <c r="G73" s="4"/>
      <c r="H73" s="4"/>
      <c r="I73" s="4"/>
      <c r="J73" s="4"/>
    </row>
    <row r="74" ht="19.5" customHeight="1">
      <c r="A74" s="12"/>
      <c r="B74" s="25">
        <v>64.0</v>
      </c>
      <c r="C74" s="5" t="s">
        <v>83</v>
      </c>
      <c r="D74" s="5"/>
      <c r="E74" s="4"/>
      <c r="F74" s="4"/>
      <c r="G74" s="4"/>
      <c r="H74" s="4"/>
      <c r="I74" s="4"/>
      <c r="J74" s="4"/>
    </row>
    <row r="75" ht="19.5" customHeight="1">
      <c r="A75" s="12"/>
      <c r="B75" s="25">
        <v>65.0</v>
      </c>
      <c r="C75" s="5" t="s">
        <v>84</v>
      </c>
      <c r="D75" s="5"/>
      <c r="E75" s="4"/>
      <c r="F75" s="4"/>
      <c r="G75" s="4"/>
      <c r="H75" s="4"/>
      <c r="I75" s="4"/>
      <c r="J75" s="4"/>
    </row>
    <row r="76" ht="19.5" customHeight="1">
      <c r="A76" s="12"/>
      <c r="B76" s="25">
        <v>66.0</v>
      </c>
      <c r="C76" s="5" t="s">
        <v>85</v>
      </c>
      <c r="D76" s="5"/>
      <c r="E76" s="4"/>
      <c r="F76" s="4"/>
      <c r="G76" s="4"/>
      <c r="H76" s="4"/>
      <c r="I76" s="4"/>
      <c r="J76" s="4"/>
    </row>
    <row r="77" ht="19.5" customHeight="1">
      <c r="A77" s="30"/>
      <c r="B77" s="25">
        <v>67.0</v>
      </c>
      <c r="C77" s="11" t="s">
        <v>86</v>
      </c>
      <c r="D77" s="5"/>
      <c r="E77" s="4"/>
      <c r="F77" s="4"/>
      <c r="G77" s="4"/>
      <c r="H77" s="4"/>
      <c r="I77" s="4"/>
      <c r="J77" s="4"/>
    </row>
    <row r="78" ht="15.75" customHeight="1">
      <c r="A78" s="28" t="s">
        <v>216</v>
      </c>
      <c r="B78" s="2"/>
      <c r="C78" s="2"/>
      <c r="D78" s="3"/>
      <c r="E78" s="4"/>
      <c r="F78" s="4"/>
      <c r="G78" s="4"/>
      <c r="H78" s="4"/>
      <c r="I78" s="4"/>
      <c r="J78" s="4"/>
    </row>
    <row r="79" ht="27.75" customHeight="1">
      <c r="A79" s="30" t="s">
        <v>217</v>
      </c>
      <c r="B79" s="27">
        <v>68.0</v>
      </c>
      <c r="C79" s="17" t="s">
        <v>89</v>
      </c>
      <c r="D79" s="17"/>
      <c r="E79" s="18"/>
      <c r="F79" s="18"/>
      <c r="G79" s="18"/>
      <c r="H79" s="18"/>
      <c r="I79" s="18"/>
      <c r="J79" s="18"/>
    </row>
    <row r="80" ht="27.75" customHeight="1">
      <c r="A80" s="12"/>
      <c r="B80" s="27">
        <v>69.0</v>
      </c>
      <c r="C80" s="17" t="s">
        <v>90</v>
      </c>
      <c r="D80" s="17"/>
      <c r="E80" s="18"/>
      <c r="F80" s="18"/>
      <c r="G80" s="18"/>
      <c r="H80" s="18"/>
      <c r="I80" s="18"/>
      <c r="J80" s="18"/>
    </row>
    <row r="81" ht="27.75" customHeight="1">
      <c r="A81" s="12"/>
      <c r="B81" s="27">
        <v>70.0</v>
      </c>
      <c r="C81" s="19" t="s">
        <v>91</v>
      </c>
      <c r="D81" s="17"/>
      <c r="E81" s="18"/>
      <c r="F81" s="18"/>
      <c r="G81" s="18"/>
      <c r="H81" s="18"/>
      <c r="I81" s="18"/>
      <c r="J81" s="18"/>
    </row>
    <row r="82" ht="27.75" customHeight="1">
      <c r="A82" s="12"/>
      <c r="B82" s="27">
        <v>71.0</v>
      </c>
      <c r="C82" s="17" t="s">
        <v>92</v>
      </c>
      <c r="D82" s="17"/>
      <c r="E82" s="18"/>
      <c r="F82" s="18"/>
      <c r="G82" s="18"/>
      <c r="H82" s="18"/>
      <c r="I82" s="18"/>
      <c r="J82" s="18"/>
    </row>
    <row r="83" ht="27.75" customHeight="1">
      <c r="A83" s="12"/>
      <c r="B83" s="27">
        <v>72.0</v>
      </c>
      <c r="C83" s="17" t="s">
        <v>93</v>
      </c>
      <c r="D83" s="17"/>
      <c r="E83" s="18"/>
      <c r="F83" s="18"/>
      <c r="G83" s="18"/>
      <c r="H83" s="18"/>
      <c r="I83" s="18"/>
      <c r="J83" s="18"/>
    </row>
    <row r="84" ht="27.75" customHeight="1">
      <c r="A84" s="12"/>
      <c r="B84" s="27">
        <v>73.0</v>
      </c>
      <c r="C84" s="17" t="s">
        <v>94</v>
      </c>
      <c r="D84" s="17"/>
      <c r="E84" s="18"/>
      <c r="F84" s="18"/>
      <c r="G84" s="18"/>
      <c r="H84" s="18"/>
      <c r="I84" s="18"/>
      <c r="J84" s="18"/>
    </row>
    <row r="85" ht="27.75" customHeight="1">
      <c r="A85" s="12"/>
      <c r="B85" s="27">
        <v>74.0</v>
      </c>
      <c r="C85" s="17" t="s">
        <v>95</v>
      </c>
      <c r="D85" s="17"/>
      <c r="E85" s="18"/>
      <c r="F85" s="18"/>
      <c r="G85" s="18"/>
      <c r="H85" s="18"/>
      <c r="I85" s="18"/>
      <c r="J85" s="18"/>
    </row>
    <row r="86" ht="27.75" customHeight="1">
      <c r="A86" s="12"/>
      <c r="B86" s="27">
        <v>75.0</v>
      </c>
      <c r="C86" s="17" t="s">
        <v>96</v>
      </c>
      <c r="D86" s="17"/>
      <c r="E86" s="18"/>
      <c r="F86" s="18"/>
      <c r="G86" s="18"/>
      <c r="H86" s="18"/>
      <c r="I86" s="18"/>
      <c r="J86" s="18"/>
    </row>
    <row r="87" ht="27.75" customHeight="1">
      <c r="A87" s="12"/>
      <c r="B87" s="27">
        <v>76.0</v>
      </c>
      <c r="C87" s="17" t="s">
        <v>97</v>
      </c>
      <c r="D87" s="17"/>
      <c r="E87" s="18"/>
      <c r="F87" s="18"/>
      <c r="G87" s="18"/>
      <c r="H87" s="18"/>
      <c r="I87" s="18"/>
      <c r="J87" s="18"/>
    </row>
    <row r="88" ht="27.75" customHeight="1">
      <c r="A88" s="30"/>
      <c r="B88" s="27">
        <v>77.0</v>
      </c>
      <c r="C88" s="19" t="s">
        <v>98</v>
      </c>
      <c r="D88" s="17"/>
      <c r="E88" s="18"/>
      <c r="F88" s="18"/>
      <c r="G88" s="18"/>
      <c r="H88" s="18"/>
      <c r="I88" s="18"/>
      <c r="J88" s="18"/>
    </row>
    <row r="89" ht="27.75" customHeight="1">
      <c r="A89" s="30"/>
      <c r="B89" s="27">
        <v>78.0</v>
      </c>
      <c r="C89" s="19" t="s">
        <v>99</v>
      </c>
      <c r="D89" s="17"/>
      <c r="E89" s="18"/>
      <c r="F89" s="18"/>
      <c r="G89" s="18"/>
      <c r="H89" s="18"/>
      <c r="I89" s="18"/>
      <c r="J89" s="18"/>
    </row>
    <row r="90" ht="27.75" customHeight="1">
      <c r="A90" s="30"/>
      <c r="B90" s="27">
        <v>79.0</v>
      </c>
      <c r="C90" s="19" t="s">
        <v>100</v>
      </c>
      <c r="D90" s="17"/>
      <c r="E90" s="18"/>
      <c r="F90" s="18"/>
      <c r="G90" s="18"/>
      <c r="H90" s="18"/>
      <c r="I90" s="18"/>
      <c r="J90" s="18"/>
    </row>
    <row r="91" ht="15.75" customHeight="1">
      <c r="A91" s="28" t="s">
        <v>218</v>
      </c>
      <c r="B91" s="2"/>
      <c r="C91" s="2"/>
      <c r="D91" s="3"/>
      <c r="E91" s="4"/>
      <c r="F91" s="4"/>
      <c r="G91" s="4"/>
      <c r="H91" s="4"/>
      <c r="I91" s="4"/>
      <c r="J91" s="4"/>
    </row>
    <row r="92" ht="18.0" customHeight="1">
      <c r="A92" s="30" t="s">
        <v>219</v>
      </c>
      <c r="B92" s="25">
        <v>80.0</v>
      </c>
      <c r="C92" s="5" t="s">
        <v>103</v>
      </c>
      <c r="D92" s="5"/>
      <c r="E92" s="4"/>
      <c r="F92" s="4"/>
      <c r="G92" s="4"/>
      <c r="H92" s="4"/>
      <c r="I92" s="4"/>
      <c r="J92" s="4"/>
    </row>
    <row r="93" ht="18.0" customHeight="1">
      <c r="A93" s="12"/>
      <c r="B93" s="25">
        <v>81.0</v>
      </c>
      <c r="C93" s="5" t="s">
        <v>104</v>
      </c>
      <c r="D93" s="5"/>
      <c r="E93" s="4"/>
      <c r="F93" s="4"/>
      <c r="G93" s="4"/>
      <c r="H93" s="4"/>
      <c r="I93" s="4"/>
      <c r="J93" s="4"/>
    </row>
    <row r="94" ht="18.0" customHeight="1">
      <c r="A94" s="12"/>
      <c r="B94" s="25">
        <v>82.0</v>
      </c>
      <c r="C94" s="5" t="s">
        <v>105</v>
      </c>
      <c r="D94" s="5"/>
      <c r="E94" s="4"/>
      <c r="F94" s="4"/>
      <c r="G94" s="4"/>
      <c r="H94" s="4"/>
      <c r="I94" s="4"/>
      <c r="J94" s="4"/>
    </row>
    <row r="95" ht="18.0" customHeight="1">
      <c r="A95" s="12"/>
      <c r="B95" s="25">
        <v>83.0</v>
      </c>
      <c r="C95" s="5" t="s">
        <v>106</v>
      </c>
      <c r="D95" s="5"/>
      <c r="E95" s="4"/>
      <c r="F95" s="4"/>
      <c r="G95" s="4"/>
      <c r="H95" s="4"/>
      <c r="I95" s="4"/>
      <c r="J95" s="4"/>
    </row>
    <row r="96" ht="18.0" customHeight="1">
      <c r="A96" s="12"/>
      <c r="B96" s="25">
        <v>84.0</v>
      </c>
      <c r="C96" s="5" t="s">
        <v>107</v>
      </c>
      <c r="D96" s="5"/>
      <c r="E96" s="4"/>
      <c r="F96" s="4"/>
      <c r="G96" s="4"/>
      <c r="H96" s="4"/>
      <c r="I96" s="4"/>
      <c r="J96" s="4"/>
    </row>
    <row r="97" ht="18.0" customHeight="1">
      <c r="A97" s="12"/>
      <c r="B97" s="25">
        <v>85.0</v>
      </c>
      <c r="C97" s="5" t="s">
        <v>108</v>
      </c>
      <c r="D97" s="5"/>
      <c r="E97" s="4"/>
      <c r="F97" s="4"/>
      <c r="G97" s="4"/>
      <c r="H97" s="4"/>
      <c r="I97" s="4"/>
      <c r="J97" s="4"/>
    </row>
    <row r="98" ht="18.0" customHeight="1">
      <c r="A98" s="12"/>
      <c r="B98" s="25">
        <v>86.0</v>
      </c>
      <c r="C98" s="5" t="s">
        <v>109</v>
      </c>
      <c r="D98" s="5"/>
      <c r="E98" s="4"/>
      <c r="F98" s="4"/>
      <c r="G98" s="4"/>
      <c r="H98" s="4"/>
      <c r="I98" s="4"/>
      <c r="J98" s="4"/>
    </row>
    <row r="99" ht="18.0" customHeight="1">
      <c r="A99" s="12"/>
      <c r="B99" s="25">
        <v>87.0</v>
      </c>
      <c r="C99" s="11" t="s">
        <v>110</v>
      </c>
      <c r="D99" s="5"/>
      <c r="E99" s="4"/>
      <c r="F99" s="4"/>
      <c r="G99" s="4"/>
      <c r="H99" s="4"/>
      <c r="I99" s="4"/>
      <c r="J99" s="4"/>
    </row>
    <row r="100" ht="18.0" customHeight="1">
      <c r="A100" s="12"/>
      <c r="B100" s="25">
        <v>88.0</v>
      </c>
      <c r="C100" s="5" t="s">
        <v>111</v>
      </c>
      <c r="D100" s="5"/>
      <c r="E100" s="4"/>
      <c r="F100" s="4"/>
      <c r="G100" s="4"/>
      <c r="H100" s="4"/>
      <c r="I100" s="4"/>
      <c r="J100" s="4"/>
    </row>
    <row r="101" ht="18.0" customHeight="1">
      <c r="A101" s="12"/>
      <c r="B101" s="25">
        <v>89.0</v>
      </c>
      <c r="C101" s="5" t="s">
        <v>112</v>
      </c>
      <c r="D101" s="5"/>
      <c r="E101" s="4"/>
      <c r="F101" s="4"/>
      <c r="G101" s="4"/>
      <c r="H101" s="4"/>
      <c r="I101" s="4"/>
      <c r="J101" s="4"/>
    </row>
    <row r="102" ht="15.75" customHeight="1">
      <c r="A102" s="28" t="s">
        <v>220</v>
      </c>
      <c r="B102" s="2"/>
      <c r="C102" s="2"/>
      <c r="D102" s="3"/>
      <c r="E102" s="4"/>
      <c r="F102" s="4"/>
      <c r="G102" s="4"/>
      <c r="H102" s="4"/>
      <c r="I102" s="4"/>
      <c r="J102" s="4"/>
    </row>
    <row r="103" ht="18.75" customHeight="1">
      <c r="A103" s="30" t="s">
        <v>221</v>
      </c>
      <c r="B103" s="25">
        <v>90.0</v>
      </c>
      <c r="C103" s="11" t="s">
        <v>115</v>
      </c>
      <c r="D103" s="5"/>
      <c r="E103" s="4"/>
      <c r="F103" s="4"/>
      <c r="G103" s="4"/>
      <c r="H103" s="4"/>
      <c r="I103" s="4"/>
      <c r="J103" s="4"/>
    </row>
    <row r="104" ht="18.75" customHeight="1">
      <c r="A104" s="12"/>
      <c r="B104" s="25">
        <v>91.0</v>
      </c>
      <c r="C104" s="11" t="s">
        <v>116</v>
      </c>
      <c r="D104" s="5"/>
      <c r="E104" s="4"/>
      <c r="F104" s="4"/>
      <c r="G104" s="4"/>
      <c r="H104" s="4"/>
      <c r="I104" s="4"/>
      <c r="J104" s="4"/>
    </row>
    <row r="105" ht="18.75" customHeight="1">
      <c r="A105" s="12"/>
      <c r="B105" s="25">
        <v>92.0</v>
      </c>
      <c r="C105" s="5" t="s">
        <v>117</v>
      </c>
      <c r="D105" s="5"/>
      <c r="E105" s="4"/>
      <c r="F105" s="4"/>
      <c r="G105" s="4"/>
      <c r="H105" s="4"/>
      <c r="I105" s="4"/>
      <c r="J105" s="4"/>
    </row>
    <row r="106" ht="18.75" customHeight="1">
      <c r="A106" s="12"/>
      <c r="B106" s="25">
        <v>93.0</v>
      </c>
      <c r="C106" s="5" t="s">
        <v>118</v>
      </c>
      <c r="D106" s="5"/>
      <c r="E106" s="4"/>
      <c r="F106" s="4"/>
      <c r="G106" s="4"/>
      <c r="H106" s="4"/>
      <c r="I106" s="4"/>
      <c r="J106" s="4"/>
    </row>
    <row r="107" ht="18.75" customHeight="1">
      <c r="A107" s="12"/>
      <c r="B107" s="25">
        <v>94.0</v>
      </c>
      <c r="C107" s="5" t="s">
        <v>119</v>
      </c>
      <c r="D107" s="5"/>
      <c r="E107" s="4"/>
      <c r="F107" s="4"/>
      <c r="G107" s="4"/>
      <c r="H107" s="4"/>
      <c r="I107" s="4"/>
      <c r="J107" s="4"/>
    </row>
    <row r="108" ht="18.75" customHeight="1">
      <c r="A108" s="12"/>
      <c r="B108" s="25">
        <v>95.0</v>
      </c>
      <c r="C108" s="5" t="s">
        <v>120</v>
      </c>
      <c r="D108" s="5"/>
      <c r="E108" s="4"/>
      <c r="F108" s="4"/>
      <c r="G108" s="4"/>
      <c r="H108" s="4"/>
      <c r="I108" s="4"/>
      <c r="J108" s="4"/>
    </row>
    <row r="109" ht="18.75" customHeight="1">
      <c r="A109" s="12"/>
      <c r="B109" s="25">
        <v>96.0</v>
      </c>
      <c r="C109" s="11" t="s">
        <v>121</v>
      </c>
      <c r="D109" s="5"/>
      <c r="E109" s="4"/>
      <c r="F109" s="4"/>
      <c r="G109" s="4"/>
      <c r="H109" s="4"/>
      <c r="I109" s="4"/>
      <c r="J109" s="4"/>
    </row>
    <row r="110" ht="18.75" customHeight="1">
      <c r="A110" s="12"/>
      <c r="B110" s="25">
        <v>97.0</v>
      </c>
      <c r="C110" s="5" t="s">
        <v>122</v>
      </c>
      <c r="D110" s="5"/>
      <c r="E110" s="4"/>
      <c r="F110" s="4"/>
      <c r="G110" s="4"/>
      <c r="H110" s="4"/>
      <c r="I110" s="4"/>
      <c r="J110" s="4"/>
    </row>
    <row r="111" ht="18.75" customHeight="1">
      <c r="A111" s="12"/>
      <c r="B111" s="25">
        <v>98.0</v>
      </c>
      <c r="C111" s="5" t="s">
        <v>123</v>
      </c>
      <c r="D111" s="5"/>
      <c r="E111" s="4"/>
      <c r="F111" s="4"/>
      <c r="G111" s="4"/>
      <c r="H111" s="4"/>
      <c r="I111" s="4"/>
      <c r="J111" s="4"/>
    </row>
    <row r="112" ht="18.75" customHeight="1">
      <c r="A112" s="12"/>
      <c r="B112" s="25">
        <v>99.0</v>
      </c>
      <c r="C112" s="11" t="s">
        <v>124</v>
      </c>
      <c r="D112" s="5"/>
      <c r="E112" s="4"/>
      <c r="F112" s="4"/>
      <c r="G112" s="4"/>
      <c r="H112" s="4"/>
      <c r="I112" s="4"/>
      <c r="J112" s="4"/>
    </row>
    <row r="113" ht="18.75" customHeight="1">
      <c r="A113" s="12"/>
      <c r="B113" s="25">
        <v>100.0</v>
      </c>
      <c r="C113" s="5" t="s">
        <v>125</v>
      </c>
      <c r="D113" s="5"/>
      <c r="E113" s="4"/>
      <c r="F113" s="4"/>
      <c r="G113" s="4"/>
      <c r="H113" s="4"/>
      <c r="I113" s="4"/>
      <c r="J113" s="4"/>
    </row>
    <row r="114" ht="15.75" customHeight="1">
      <c r="A114" s="28" t="s">
        <v>222</v>
      </c>
      <c r="B114" s="2"/>
      <c r="C114" s="2"/>
      <c r="D114" s="3"/>
      <c r="E114" s="4"/>
      <c r="F114" s="4"/>
      <c r="G114" s="4"/>
      <c r="H114" s="4"/>
      <c r="I114" s="4"/>
      <c r="J114" s="4"/>
    </row>
    <row r="115" ht="15.75" customHeight="1">
      <c r="A115" s="30" t="s">
        <v>223</v>
      </c>
      <c r="B115" s="25">
        <v>101.0</v>
      </c>
      <c r="C115" s="5" t="s">
        <v>128</v>
      </c>
      <c r="D115" s="5"/>
      <c r="E115" s="4"/>
      <c r="F115" s="4"/>
      <c r="G115" s="4"/>
      <c r="H115" s="4"/>
      <c r="I115" s="4"/>
      <c r="J115" s="4"/>
    </row>
    <row r="116" ht="15.75" customHeight="1">
      <c r="A116" s="12"/>
      <c r="B116" s="25">
        <v>102.0</v>
      </c>
      <c r="C116" s="5" t="s">
        <v>129</v>
      </c>
      <c r="D116" s="5"/>
      <c r="E116" s="4"/>
      <c r="F116" s="4"/>
      <c r="G116" s="4"/>
      <c r="H116" s="4"/>
      <c r="I116" s="4"/>
      <c r="J116" s="4"/>
    </row>
    <row r="117" ht="15.75" customHeight="1">
      <c r="A117" s="12"/>
      <c r="B117" s="25">
        <v>103.0</v>
      </c>
      <c r="C117" s="5" t="s">
        <v>130</v>
      </c>
      <c r="D117" s="5"/>
      <c r="E117" s="4"/>
      <c r="F117" s="4"/>
      <c r="G117" s="4"/>
      <c r="H117" s="4"/>
      <c r="I117" s="4"/>
      <c r="J117" s="4"/>
    </row>
    <row r="118" ht="15.75" customHeight="1">
      <c r="A118" s="12"/>
      <c r="B118" s="25">
        <v>104.0</v>
      </c>
      <c r="C118" s="5" t="s">
        <v>131</v>
      </c>
      <c r="D118" s="5"/>
      <c r="E118" s="4"/>
      <c r="F118" s="4"/>
      <c r="G118" s="4"/>
      <c r="H118" s="4"/>
      <c r="I118" s="4"/>
      <c r="J118" s="4"/>
    </row>
    <row r="119" ht="15.75" customHeight="1">
      <c r="A119" s="12"/>
      <c r="B119" s="25">
        <v>105.0</v>
      </c>
      <c r="C119" s="5" t="s">
        <v>132</v>
      </c>
      <c r="D119" s="5"/>
      <c r="E119" s="4"/>
      <c r="F119" s="4"/>
      <c r="G119" s="4"/>
      <c r="H119" s="4"/>
      <c r="I119" s="4"/>
      <c r="J119" s="4"/>
    </row>
    <row r="120" ht="15.75" customHeight="1">
      <c r="A120" s="12"/>
      <c r="B120" s="25">
        <v>106.0</v>
      </c>
      <c r="C120" s="5" t="s">
        <v>133</v>
      </c>
      <c r="D120" s="5"/>
      <c r="E120" s="4"/>
      <c r="F120" s="4"/>
      <c r="G120" s="4"/>
      <c r="H120" s="4"/>
      <c r="I120" s="4"/>
      <c r="J120" s="4"/>
    </row>
    <row r="121" ht="15.75" customHeight="1">
      <c r="A121" s="12"/>
      <c r="B121" s="25">
        <v>107.0</v>
      </c>
      <c r="C121" s="5" t="s">
        <v>134</v>
      </c>
      <c r="D121" s="5"/>
      <c r="E121" s="4"/>
      <c r="F121" s="4"/>
      <c r="G121" s="4"/>
      <c r="H121" s="4"/>
      <c r="I121" s="4"/>
      <c r="J121" s="4"/>
    </row>
    <row r="122" ht="15.75" customHeight="1">
      <c r="A122" s="12"/>
      <c r="B122" s="25">
        <v>108.0</v>
      </c>
      <c r="C122" s="5" t="s">
        <v>135</v>
      </c>
      <c r="D122" s="5"/>
      <c r="E122" s="4"/>
      <c r="F122" s="4"/>
      <c r="G122" s="4"/>
      <c r="H122" s="4"/>
      <c r="I122" s="4"/>
      <c r="J122" s="4"/>
    </row>
    <row r="123" ht="15.75" customHeight="1">
      <c r="A123" s="12"/>
      <c r="B123" s="25">
        <v>109.0</v>
      </c>
      <c r="C123" s="5" t="s">
        <v>136</v>
      </c>
      <c r="D123" s="5"/>
      <c r="E123" s="4"/>
      <c r="F123" s="4"/>
      <c r="G123" s="4"/>
      <c r="H123" s="4"/>
      <c r="I123" s="4"/>
      <c r="J123" s="4"/>
    </row>
    <row r="124" ht="15.75" customHeight="1">
      <c r="A124" s="12"/>
      <c r="B124" s="25">
        <v>110.0</v>
      </c>
      <c r="C124" s="11" t="s">
        <v>137</v>
      </c>
      <c r="D124" s="5"/>
      <c r="E124" s="4"/>
      <c r="F124" s="4"/>
      <c r="G124" s="4"/>
      <c r="H124" s="4"/>
      <c r="I124" s="4"/>
      <c r="J124" s="4"/>
    </row>
    <row r="125" ht="15.75" customHeight="1">
      <c r="A125" s="12"/>
      <c r="B125" s="25">
        <v>111.0</v>
      </c>
      <c r="C125" s="5" t="s">
        <v>138</v>
      </c>
      <c r="D125" s="5"/>
      <c r="E125" s="4"/>
      <c r="F125" s="4"/>
      <c r="G125" s="4"/>
      <c r="H125" s="4"/>
      <c r="I125" s="4"/>
      <c r="J125" s="4"/>
    </row>
    <row r="126" ht="15.75" customHeight="1">
      <c r="A126" s="12"/>
      <c r="B126" s="25">
        <v>112.0</v>
      </c>
      <c r="C126" s="11" t="s">
        <v>139</v>
      </c>
      <c r="D126" s="5"/>
      <c r="E126" s="4"/>
      <c r="F126" s="4"/>
      <c r="G126" s="4"/>
      <c r="H126" s="4"/>
      <c r="I126" s="4"/>
      <c r="J126" s="4"/>
    </row>
    <row r="127" ht="15.75" customHeight="1">
      <c r="A127" s="28" t="s">
        <v>224</v>
      </c>
      <c r="B127" s="2"/>
      <c r="C127" s="2"/>
      <c r="D127" s="3"/>
      <c r="E127" s="4"/>
      <c r="F127" s="4"/>
      <c r="G127" s="4"/>
      <c r="H127" s="4"/>
      <c r="I127" s="4"/>
      <c r="J127" s="4"/>
    </row>
    <row r="128" ht="18.0" customHeight="1">
      <c r="A128" s="30" t="s">
        <v>225</v>
      </c>
      <c r="B128" s="25">
        <v>113.0</v>
      </c>
      <c r="C128" s="11" t="s">
        <v>142</v>
      </c>
      <c r="D128" s="5"/>
      <c r="E128" s="4"/>
      <c r="F128" s="4"/>
      <c r="G128" s="4"/>
      <c r="H128" s="4"/>
      <c r="I128" s="4"/>
      <c r="J128" s="4"/>
    </row>
    <row r="129" ht="18.0" customHeight="1">
      <c r="A129" s="12"/>
      <c r="B129" s="25">
        <v>114.0</v>
      </c>
      <c r="C129" s="11" t="s">
        <v>143</v>
      </c>
      <c r="D129" s="5"/>
      <c r="E129" s="4"/>
      <c r="F129" s="4"/>
      <c r="G129" s="4"/>
      <c r="H129" s="4"/>
      <c r="I129" s="4"/>
      <c r="J129" s="4"/>
    </row>
    <row r="130" ht="18.0" customHeight="1">
      <c r="A130" s="12"/>
      <c r="B130" s="25">
        <v>115.0</v>
      </c>
      <c r="C130" s="11" t="s">
        <v>144</v>
      </c>
      <c r="D130" s="5"/>
      <c r="E130" s="4"/>
      <c r="F130" s="4"/>
      <c r="G130" s="4"/>
      <c r="H130" s="4"/>
      <c r="I130" s="4"/>
      <c r="J130" s="4"/>
    </row>
    <row r="131" ht="18.0" customHeight="1">
      <c r="A131" s="12"/>
      <c r="B131" s="25">
        <v>116.0</v>
      </c>
      <c r="C131" s="11" t="s">
        <v>145</v>
      </c>
      <c r="D131" s="5"/>
      <c r="E131" s="4"/>
      <c r="F131" s="4"/>
      <c r="G131" s="4"/>
      <c r="H131" s="4"/>
      <c r="I131" s="4"/>
      <c r="J131" s="4"/>
    </row>
    <row r="132" ht="18.0" customHeight="1">
      <c r="A132" s="12"/>
      <c r="B132" s="25">
        <v>117.0</v>
      </c>
      <c r="C132" s="5" t="s">
        <v>146</v>
      </c>
      <c r="D132" s="5"/>
      <c r="E132" s="4"/>
      <c r="F132" s="4"/>
      <c r="G132" s="4"/>
      <c r="H132" s="4"/>
      <c r="I132" s="4"/>
      <c r="J132" s="4"/>
    </row>
    <row r="133" ht="18.0" customHeight="1">
      <c r="A133" s="12"/>
      <c r="B133" s="25">
        <v>118.0</v>
      </c>
      <c r="C133" s="5" t="s">
        <v>147</v>
      </c>
      <c r="D133" s="5"/>
      <c r="E133" s="4"/>
      <c r="F133" s="4"/>
      <c r="G133" s="4"/>
      <c r="H133" s="4"/>
      <c r="I133" s="4"/>
      <c r="J133" s="4"/>
    </row>
    <row r="134" ht="18.0" customHeight="1">
      <c r="A134" s="12"/>
      <c r="B134" s="25">
        <v>119.0</v>
      </c>
      <c r="C134" s="5" t="s">
        <v>148</v>
      </c>
      <c r="D134" s="5"/>
      <c r="E134" s="4"/>
      <c r="F134" s="4"/>
      <c r="G134" s="4"/>
      <c r="H134" s="4"/>
      <c r="I134" s="4"/>
      <c r="J134" s="4"/>
    </row>
    <row r="135" ht="18.0" customHeight="1">
      <c r="A135" s="12"/>
      <c r="B135" s="25">
        <v>120.0</v>
      </c>
      <c r="C135" s="11" t="s">
        <v>149</v>
      </c>
      <c r="D135" s="5"/>
      <c r="E135" s="4"/>
      <c r="F135" s="4"/>
      <c r="G135" s="4"/>
      <c r="H135" s="4"/>
      <c r="I135" s="4"/>
      <c r="J135" s="4"/>
    </row>
    <row r="136" ht="18.0" customHeight="1">
      <c r="A136" s="12"/>
      <c r="B136" s="25">
        <v>121.0</v>
      </c>
      <c r="C136" s="5" t="s">
        <v>150</v>
      </c>
      <c r="D136" s="5"/>
      <c r="E136" s="4"/>
      <c r="F136" s="4"/>
      <c r="G136" s="4"/>
      <c r="H136" s="4"/>
      <c r="I136" s="4"/>
      <c r="J136" s="4"/>
    </row>
    <row r="137" ht="18.0" customHeight="1">
      <c r="A137" s="12"/>
      <c r="B137" s="25">
        <v>122.0</v>
      </c>
      <c r="C137" s="11" t="s">
        <v>151</v>
      </c>
      <c r="D137" s="5"/>
      <c r="E137" s="4"/>
      <c r="F137" s="4"/>
      <c r="G137" s="4"/>
      <c r="H137" s="4"/>
      <c r="I137" s="4"/>
      <c r="J137" s="4"/>
    </row>
    <row r="138" ht="18.0" customHeight="1">
      <c r="A138" s="12"/>
      <c r="B138" s="25">
        <v>123.0</v>
      </c>
      <c r="C138" s="11" t="s">
        <v>152</v>
      </c>
      <c r="D138" s="5"/>
      <c r="E138" s="4"/>
      <c r="F138" s="4"/>
      <c r="G138" s="4"/>
      <c r="H138" s="4"/>
      <c r="I138" s="4"/>
      <c r="J138" s="4"/>
    </row>
    <row r="139" ht="15.75" customHeight="1">
      <c r="A139" s="28" t="s">
        <v>226</v>
      </c>
      <c r="B139" s="2"/>
      <c r="C139" s="2"/>
      <c r="D139" s="3"/>
      <c r="E139" s="4"/>
      <c r="F139" s="4"/>
      <c r="G139" s="4"/>
      <c r="H139" s="4"/>
      <c r="I139" s="4"/>
      <c r="J139" s="4"/>
    </row>
    <row r="140" ht="17.25" customHeight="1">
      <c r="A140" s="30" t="s">
        <v>227</v>
      </c>
      <c r="B140" s="25">
        <v>124.0</v>
      </c>
      <c r="C140" s="11" t="s">
        <v>155</v>
      </c>
      <c r="D140" s="5"/>
      <c r="E140" s="4"/>
      <c r="F140" s="4"/>
      <c r="G140" s="4"/>
      <c r="H140" s="4"/>
      <c r="I140" s="4"/>
      <c r="J140" s="4"/>
    </row>
    <row r="141" ht="17.25" customHeight="1">
      <c r="A141" s="12"/>
      <c r="B141" s="25">
        <v>125.0</v>
      </c>
      <c r="C141" s="11" t="s">
        <v>156</v>
      </c>
      <c r="D141" s="5"/>
      <c r="E141" s="4"/>
      <c r="F141" s="4"/>
      <c r="G141" s="4"/>
      <c r="H141" s="4"/>
      <c r="I141" s="4"/>
      <c r="J141" s="4"/>
    </row>
    <row r="142" ht="17.25" customHeight="1">
      <c r="A142" s="12"/>
      <c r="B142" s="25">
        <v>126.0</v>
      </c>
      <c r="C142" s="5" t="s">
        <v>157</v>
      </c>
      <c r="D142" s="5"/>
      <c r="E142" s="4"/>
      <c r="F142" s="4"/>
      <c r="G142" s="4"/>
      <c r="H142" s="4"/>
      <c r="I142" s="4"/>
      <c r="J142" s="4"/>
    </row>
    <row r="143" ht="17.25" customHeight="1">
      <c r="A143" s="12"/>
      <c r="B143" s="25">
        <v>127.0</v>
      </c>
      <c r="C143" s="5" t="s">
        <v>158</v>
      </c>
      <c r="D143" s="5"/>
      <c r="E143" s="4"/>
      <c r="F143" s="4"/>
      <c r="G143" s="4"/>
      <c r="H143" s="4"/>
      <c r="I143" s="4"/>
      <c r="J143" s="4"/>
    </row>
    <row r="144" ht="17.25" customHeight="1">
      <c r="A144" s="12"/>
      <c r="B144" s="25">
        <v>128.0</v>
      </c>
      <c r="C144" s="5" t="s">
        <v>159</v>
      </c>
      <c r="D144" s="5"/>
      <c r="E144" s="4"/>
      <c r="F144" s="4"/>
      <c r="G144" s="4"/>
      <c r="H144" s="4"/>
      <c r="I144" s="4"/>
      <c r="J144" s="4"/>
    </row>
    <row r="145" ht="17.25" customHeight="1">
      <c r="A145" s="12"/>
      <c r="B145" s="25">
        <v>129.0</v>
      </c>
      <c r="C145" s="5" t="s">
        <v>160</v>
      </c>
      <c r="D145" s="5"/>
      <c r="E145" s="4"/>
      <c r="F145" s="4"/>
      <c r="G145" s="4"/>
      <c r="H145" s="4"/>
      <c r="I145" s="4"/>
      <c r="J145" s="4"/>
    </row>
    <row r="146" ht="17.25" customHeight="1">
      <c r="A146" s="12"/>
      <c r="B146" s="25">
        <v>130.0</v>
      </c>
      <c r="C146" s="5" t="s">
        <v>161</v>
      </c>
      <c r="D146" s="5"/>
      <c r="E146" s="4"/>
      <c r="F146" s="4"/>
      <c r="G146" s="4"/>
      <c r="H146" s="4"/>
      <c r="I146" s="4"/>
      <c r="J146" s="4"/>
    </row>
    <row r="147" ht="17.25" customHeight="1">
      <c r="A147" s="12"/>
      <c r="B147" s="25">
        <v>131.0</v>
      </c>
      <c r="C147" s="11" t="s">
        <v>162</v>
      </c>
      <c r="D147" s="5"/>
      <c r="E147" s="4"/>
      <c r="F147" s="4"/>
      <c r="G147" s="4"/>
      <c r="H147" s="4"/>
      <c r="I147" s="4"/>
      <c r="J147" s="4"/>
    </row>
    <row r="148" ht="17.25" customHeight="1">
      <c r="A148" s="12"/>
      <c r="B148" s="25">
        <v>132.0</v>
      </c>
      <c r="C148" s="5" t="s">
        <v>163</v>
      </c>
      <c r="D148" s="5"/>
      <c r="E148" s="4"/>
      <c r="F148" s="4"/>
      <c r="G148" s="4"/>
      <c r="H148" s="4"/>
      <c r="I148" s="4"/>
      <c r="J148" s="4"/>
    </row>
    <row r="149" ht="17.25" customHeight="1">
      <c r="A149" s="12"/>
      <c r="B149" s="25">
        <v>133.0</v>
      </c>
      <c r="C149" s="11" t="s">
        <v>164</v>
      </c>
      <c r="D149" s="5"/>
      <c r="E149" s="4"/>
      <c r="F149" s="4"/>
      <c r="G149" s="4"/>
      <c r="H149" s="4"/>
      <c r="I149" s="4"/>
      <c r="J149" s="4"/>
    </row>
    <row r="150" ht="17.25" customHeight="1">
      <c r="A150" s="12"/>
      <c r="B150" s="25">
        <v>134.0</v>
      </c>
      <c r="C150" s="5" t="s">
        <v>165</v>
      </c>
      <c r="D150" s="5"/>
      <c r="E150" s="4"/>
      <c r="F150" s="4"/>
      <c r="G150" s="4"/>
      <c r="H150" s="4"/>
      <c r="I150" s="4"/>
      <c r="J150" s="4"/>
    </row>
    <row r="151" ht="17.25" customHeight="1">
      <c r="A151" s="12"/>
      <c r="B151" s="25">
        <v>135.0</v>
      </c>
      <c r="C151" s="5" t="s">
        <v>166</v>
      </c>
      <c r="D151" s="5"/>
      <c r="E151" s="4"/>
      <c r="F151" s="4"/>
      <c r="G151" s="4"/>
      <c r="H151" s="4"/>
      <c r="I151" s="4"/>
      <c r="J151" s="4"/>
    </row>
    <row r="152" ht="17.25" customHeight="1">
      <c r="A152" s="12"/>
      <c r="B152" s="25">
        <v>136.0</v>
      </c>
      <c r="C152" s="5" t="s">
        <v>167</v>
      </c>
      <c r="D152" s="5"/>
      <c r="E152" s="4"/>
      <c r="F152" s="4"/>
      <c r="G152" s="4"/>
      <c r="H152" s="4"/>
      <c r="I152" s="4"/>
      <c r="J152" s="4"/>
    </row>
    <row r="153" ht="17.25" customHeight="1">
      <c r="A153" s="12"/>
      <c r="B153" s="25">
        <v>137.0</v>
      </c>
      <c r="C153" s="5" t="s">
        <v>168</v>
      </c>
      <c r="D153" s="5"/>
      <c r="E153" s="4"/>
      <c r="F153" s="4"/>
      <c r="G153" s="4"/>
      <c r="H153" s="4"/>
      <c r="I153" s="4"/>
      <c r="J153" s="4"/>
    </row>
    <row r="154" ht="15.75" customHeight="1">
      <c r="A154" s="28" t="s">
        <v>228</v>
      </c>
      <c r="B154" s="2"/>
      <c r="C154" s="2"/>
      <c r="D154" s="3"/>
      <c r="E154" s="4"/>
      <c r="F154" s="4"/>
      <c r="G154" s="4"/>
      <c r="H154" s="4"/>
      <c r="I154" s="4"/>
      <c r="J154" s="4"/>
    </row>
    <row r="155" ht="15.75" customHeight="1">
      <c r="A155" s="30" t="s">
        <v>229</v>
      </c>
      <c r="B155" s="25">
        <v>138.0</v>
      </c>
      <c r="C155" s="11" t="s">
        <v>171</v>
      </c>
      <c r="D155" s="5"/>
      <c r="E155" s="4"/>
      <c r="F155" s="4"/>
      <c r="G155" s="4"/>
      <c r="H155" s="4"/>
      <c r="I155" s="4"/>
      <c r="J155" s="4"/>
    </row>
    <row r="156" ht="15.75" customHeight="1">
      <c r="A156" s="12"/>
      <c r="B156" s="25">
        <v>139.0</v>
      </c>
      <c r="C156" s="5" t="s">
        <v>172</v>
      </c>
      <c r="D156" s="5"/>
      <c r="E156" s="4"/>
      <c r="F156" s="4"/>
      <c r="G156" s="4"/>
      <c r="H156" s="4"/>
      <c r="I156" s="4"/>
      <c r="J156" s="4"/>
    </row>
    <row r="157" ht="15.75" customHeight="1">
      <c r="A157" s="12"/>
      <c r="B157" s="25">
        <v>140.0</v>
      </c>
      <c r="C157" s="5" t="s">
        <v>173</v>
      </c>
      <c r="D157" s="5"/>
      <c r="E157" s="4"/>
      <c r="F157" s="4"/>
      <c r="G157" s="4"/>
      <c r="H157" s="4"/>
      <c r="I157" s="4"/>
      <c r="J157" s="4"/>
    </row>
    <row r="158" ht="15.75" customHeight="1">
      <c r="A158" s="12"/>
      <c r="B158" s="25">
        <v>141.0</v>
      </c>
      <c r="C158" s="5" t="s">
        <v>174</v>
      </c>
      <c r="D158" s="5"/>
      <c r="E158" s="4"/>
      <c r="F158" s="4"/>
      <c r="G158" s="4"/>
      <c r="H158" s="4"/>
      <c r="I158" s="4"/>
      <c r="J158" s="4"/>
    </row>
    <row r="159" ht="15.75" customHeight="1">
      <c r="A159" s="12"/>
      <c r="B159" s="25">
        <v>142.0</v>
      </c>
      <c r="C159" s="11" t="s">
        <v>175</v>
      </c>
      <c r="D159" s="5"/>
      <c r="E159" s="4"/>
      <c r="F159" s="4"/>
      <c r="G159" s="4"/>
      <c r="H159" s="4"/>
      <c r="I159" s="4"/>
      <c r="J159" s="4"/>
    </row>
    <row r="160" ht="15.75" customHeight="1">
      <c r="A160" s="12"/>
      <c r="B160" s="25">
        <v>143.0</v>
      </c>
      <c r="C160" s="5" t="s">
        <v>176</v>
      </c>
      <c r="D160" s="5"/>
      <c r="E160" s="4"/>
      <c r="F160" s="4"/>
      <c r="G160" s="4"/>
      <c r="H160" s="4"/>
      <c r="I160" s="4"/>
      <c r="J160" s="4"/>
    </row>
    <row r="161" ht="15.75" customHeight="1">
      <c r="A161" s="12"/>
      <c r="B161" s="25">
        <v>144.0</v>
      </c>
      <c r="C161" s="5" t="s">
        <v>177</v>
      </c>
      <c r="D161" s="5"/>
      <c r="E161" s="4"/>
      <c r="F161" s="4"/>
      <c r="G161" s="4"/>
      <c r="H161" s="4"/>
      <c r="I161" s="4"/>
      <c r="J161" s="4"/>
    </row>
    <row r="162" ht="15.75" customHeight="1">
      <c r="A162" s="12"/>
      <c r="B162" s="25">
        <v>145.0</v>
      </c>
      <c r="C162" s="5" t="s">
        <v>178</v>
      </c>
      <c r="D162" s="5"/>
      <c r="E162" s="4"/>
      <c r="F162" s="4"/>
      <c r="G162" s="4"/>
      <c r="H162" s="4"/>
      <c r="I162" s="4"/>
      <c r="J162" s="4"/>
    </row>
    <row r="163" ht="15.75" customHeight="1">
      <c r="A163" s="12"/>
      <c r="B163" s="25">
        <v>146.0</v>
      </c>
      <c r="C163" s="5" t="s">
        <v>179</v>
      </c>
      <c r="D163" s="5"/>
      <c r="E163" s="4"/>
      <c r="F163" s="4"/>
      <c r="G163" s="4"/>
      <c r="H163" s="4"/>
      <c r="I163" s="4"/>
      <c r="J163" s="4"/>
    </row>
    <row r="164" ht="15.75" customHeight="1">
      <c r="A164" s="12"/>
      <c r="B164" s="25">
        <v>147.0</v>
      </c>
      <c r="C164" s="11" t="s">
        <v>180</v>
      </c>
      <c r="D164" s="5"/>
      <c r="E164" s="4"/>
      <c r="F164" s="4"/>
      <c r="G164" s="4"/>
      <c r="H164" s="4"/>
      <c r="I164" s="4"/>
      <c r="J164" s="4"/>
    </row>
    <row r="165" ht="15.75" customHeight="1">
      <c r="A165" s="12"/>
      <c r="B165" s="25">
        <v>148.0</v>
      </c>
      <c r="C165" s="11" t="s">
        <v>181</v>
      </c>
      <c r="D165" s="5"/>
      <c r="E165" s="4"/>
      <c r="F165" s="4"/>
      <c r="G165" s="4"/>
      <c r="H165" s="4"/>
      <c r="I165" s="4"/>
      <c r="J165" s="4"/>
    </row>
    <row r="166" ht="15.75" customHeight="1">
      <c r="A166" s="12"/>
      <c r="B166" s="25">
        <v>149.0</v>
      </c>
      <c r="C166" s="11" t="s">
        <v>182</v>
      </c>
      <c r="D166" s="5"/>
      <c r="E166" s="4"/>
      <c r="F166" s="4"/>
      <c r="G166" s="4"/>
      <c r="H166" s="4"/>
      <c r="I166" s="4"/>
      <c r="J166" s="4"/>
    </row>
    <row r="167" ht="15.75" customHeight="1">
      <c r="A167" s="12"/>
      <c r="B167" s="25">
        <v>150.0</v>
      </c>
      <c r="C167" s="11" t="s">
        <v>183</v>
      </c>
      <c r="D167" s="5"/>
      <c r="E167" s="4"/>
      <c r="F167" s="4"/>
      <c r="G167" s="4"/>
      <c r="H167" s="4"/>
      <c r="I167" s="4"/>
      <c r="J167" s="4"/>
    </row>
    <row r="168" ht="15.75" customHeight="1">
      <c r="A168" s="28" t="s">
        <v>230</v>
      </c>
      <c r="B168" s="2"/>
      <c r="C168" s="2"/>
      <c r="D168" s="3"/>
      <c r="E168" s="4"/>
      <c r="F168" s="4"/>
      <c r="G168" s="4"/>
      <c r="H168" s="4"/>
      <c r="I168" s="4"/>
      <c r="J168" s="4"/>
    </row>
    <row r="169" ht="15.75" customHeight="1">
      <c r="A169" s="30" t="s">
        <v>231</v>
      </c>
      <c r="B169" s="25">
        <v>151.0</v>
      </c>
      <c r="C169" s="11" t="s">
        <v>186</v>
      </c>
      <c r="D169" s="5"/>
      <c r="E169" s="4"/>
      <c r="F169" s="4"/>
      <c r="G169" s="4"/>
      <c r="H169" s="4"/>
      <c r="I169" s="4"/>
      <c r="J169" s="4"/>
    </row>
    <row r="170" ht="15.75" customHeight="1">
      <c r="A170" s="12"/>
      <c r="B170" s="25">
        <v>152.0</v>
      </c>
      <c r="C170" s="5" t="s">
        <v>187</v>
      </c>
      <c r="D170" s="5"/>
      <c r="E170" s="4"/>
      <c r="F170" s="4"/>
      <c r="G170" s="4"/>
      <c r="H170" s="4"/>
      <c r="I170" s="4"/>
      <c r="J170" s="4"/>
    </row>
    <row r="171" ht="15.75" customHeight="1">
      <c r="A171" s="12"/>
      <c r="B171" s="25">
        <v>153.0</v>
      </c>
      <c r="C171" s="11" t="s">
        <v>188</v>
      </c>
      <c r="D171" s="5"/>
      <c r="E171" s="4"/>
      <c r="F171" s="4"/>
      <c r="G171" s="4"/>
      <c r="H171" s="4"/>
      <c r="I171" s="4"/>
      <c r="J171" s="4"/>
    </row>
    <row r="172" ht="15.75" customHeight="1">
      <c r="A172" s="12"/>
      <c r="B172" s="25">
        <v>154.0</v>
      </c>
      <c r="C172" s="5" t="s">
        <v>189</v>
      </c>
      <c r="D172" s="5"/>
      <c r="E172" s="4"/>
      <c r="F172" s="4"/>
      <c r="G172" s="4"/>
      <c r="H172" s="4"/>
      <c r="I172" s="4"/>
      <c r="J172" s="4"/>
    </row>
    <row r="173" ht="15.75" customHeight="1">
      <c r="A173" s="12"/>
      <c r="B173" s="25">
        <v>155.0</v>
      </c>
      <c r="C173" s="5" t="s">
        <v>190</v>
      </c>
      <c r="D173" s="5"/>
      <c r="E173" s="4"/>
      <c r="F173" s="4"/>
      <c r="G173" s="4"/>
      <c r="H173" s="4"/>
      <c r="I173" s="4"/>
      <c r="J173" s="4"/>
    </row>
    <row r="174" ht="15.75" customHeight="1">
      <c r="A174" s="12"/>
      <c r="B174" s="25">
        <v>156.0</v>
      </c>
      <c r="C174" s="5" t="s">
        <v>191</v>
      </c>
      <c r="D174" s="5"/>
      <c r="E174" s="4"/>
      <c r="F174" s="4"/>
      <c r="G174" s="4"/>
      <c r="H174" s="4"/>
      <c r="I174" s="4"/>
      <c r="J174" s="4"/>
    </row>
    <row r="175" ht="15.75" customHeight="1">
      <c r="A175" s="12"/>
      <c r="B175" s="25">
        <v>157.0</v>
      </c>
      <c r="C175" s="5" t="s">
        <v>192</v>
      </c>
      <c r="D175" s="5"/>
      <c r="E175" s="4"/>
      <c r="F175" s="4"/>
      <c r="G175" s="4"/>
      <c r="H175" s="4"/>
      <c r="I175" s="4"/>
      <c r="J175" s="4"/>
    </row>
    <row r="176" ht="15.75" customHeight="1">
      <c r="A176" s="12"/>
      <c r="B176" s="25">
        <v>158.0</v>
      </c>
      <c r="C176" s="5" t="s">
        <v>193</v>
      </c>
      <c r="D176" s="5"/>
      <c r="E176" s="4"/>
      <c r="F176" s="4"/>
      <c r="G176" s="4"/>
      <c r="H176" s="4"/>
      <c r="I176" s="4"/>
      <c r="J176" s="4"/>
    </row>
    <row r="177" ht="15.75" customHeight="1">
      <c r="A177" s="12"/>
      <c r="B177" s="25">
        <v>159.0</v>
      </c>
      <c r="C177" s="5" t="s">
        <v>194</v>
      </c>
      <c r="D177" s="5"/>
      <c r="E177" s="4"/>
      <c r="F177" s="4"/>
      <c r="G177" s="4"/>
      <c r="H177" s="4"/>
      <c r="I177" s="4"/>
      <c r="J177" s="4"/>
    </row>
    <row r="178" ht="15.75" customHeight="1">
      <c r="A178" s="12"/>
      <c r="B178" s="25">
        <v>160.0</v>
      </c>
      <c r="C178" s="11" t="s">
        <v>195</v>
      </c>
      <c r="D178" s="5"/>
      <c r="E178" s="4"/>
      <c r="F178" s="4"/>
      <c r="G178" s="4"/>
      <c r="H178" s="4"/>
      <c r="I178" s="4"/>
      <c r="J178" s="4"/>
    </row>
    <row r="179" ht="15.75" customHeight="1">
      <c r="A179" s="12"/>
      <c r="B179" s="25">
        <v>161.0</v>
      </c>
      <c r="C179" s="11" t="s">
        <v>196</v>
      </c>
      <c r="D179" s="5"/>
      <c r="E179" s="4"/>
      <c r="F179" s="4"/>
      <c r="G179" s="4"/>
      <c r="H179" s="4"/>
      <c r="I179" s="4"/>
      <c r="J179" s="4"/>
    </row>
    <row r="180" ht="15.75" customHeight="1">
      <c r="A180" s="12"/>
      <c r="B180" s="25">
        <v>162.0</v>
      </c>
      <c r="C180" s="11" t="s">
        <v>197</v>
      </c>
      <c r="D180" s="5"/>
      <c r="E180" s="4"/>
      <c r="F180" s="4"/>
      <c r="G180" s="4"/>
      <c r="H180" s="4"/>
      <c r="I180" s="4"/>
      <c r="J180" s="4"/>
    </row>
    <row r="181" ht="15.75" customHeight="1">
      <c r="A181" s="12"/>
      <c r="B181" s="25">
        <v>163.0</v>
      </c>
      <c r="C181" s="5" t="s">
        <v>198</v>
      </c>
      <c r="D181" s="5"/>
      <c r="E181" s="4"/>
      <c r="F181" s="4"/>
      <c r="G181" s="4"/>
      <c r="H181" s="4"/>
      <c r="I181" s="4"/>
      <c r="J181" s="4"/>
    </row>
    <row r="182" ht="15.75" customHeight="1">
      <c r="A182" s="12"/>
      <c r="B182" s="25">
        <v>164.0</v>
      </c>
      <c r="C182" s="5" t="s">
        <v>199</v>
      </c>
      <c r="D182" s="5"/>
      <c r="E182" s="4"/>
      <c r="F182" s="4"/>
      <c r="G182" s="4"/>
      <c r="H182" s="4"/>
      <c r="I182" s="4"/>
      <c r="J182" s="4"/>
    </row>
    <row r="183" ht="15.75" customHeight="1">
      <c r="A183" s="12"/>
      <c r="B183" s="25">
        <v>165.0</v>
      </c>
      <c r="C183" s="11" t="s">
        <v>200</v>
      </c>
      <c r="D183" s="5"/>
      <c r="E183" s="4"/>
      <c r="F183" s="4"/>
      <c r="G183" s="4"/>
      <c r="H183" s="4"/>
      <c r="I183" s="4"/>
      <c r="J183" s="4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2">
    <mergeCell ref="A1:D1"/>
    <mergeCell ref="A3:D3"/>
    <mergeCell ref="A4:A17"/>
    <mergeCell ref="A18:D18"/>
    <mergeCell ref="A19:A27"/>
    <mergeCell ref="A28:D28"/>
    <mergeCell ref="A36:D36"/>
    <mergeCell ref="A103:A113"/>
    <mergeCell ref="A115:A126"/>
    <mergeCell ref="A128:A138"/>
    <mergeCell ref="A140:A153"/>
    <mergeCell ref="A155:A167"/>
    <mergeCell ref="A169:A183"/>
    <mergeCell ref="A29:A35"/>
    <mergeCell ref="A37:A45"/>
    <mergeCell ref="A47:A56"/>
    <mergeCell ref="A58:A62"/>
    <mergeCell ref="A66:A76"/>
    <mergeCell ref="A79:A87"/>
    <mergeCell ref="A92:A101"/>
    <mergeCell ref="A114:D114"/>
    <mergeCell ref="A127:D127"/>
    <mergeCell ref="A139:D139"/>
    <mergeCell ref="A154:D154"/>
    <mergeCell ref="A168:D168"/>
    <mergeCell ref="A46:D46"/>
    <mergeCell ref="A57:D57"/>
    <mergeCell ref="A64:D64"/>
    <mergeCell ref="A65:D65"/>
    <mergeCell ref="A78:D78"/>
    <mergeCell ref="A91:D91"/>
    <mergeCell ref="A102:D10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13"/>
    <col customWidth="1" min="2" max="2" width="19.63"/>
    <col customWidth="1" min="3" max="4" width="13.13"/>
    <col customWidth="1" min="5" max="5" width="13.0"/>
    <col customWidth="1" min="6" max="6" width="16.75"/>
    <col customWidth="1" min="7" max="9" width="10.75"/>
    <col customWidth="1" min="10" max="10" width="13.75"/>
    <col customWidth="1" min="11" max="11" width="15.38"/>
    <col customWidth="1" min="12" max="13" width="10.75"/>
    <col customWidth="1" min="14" max="28" width="14.38"/>
  </cols>
  <sheetData>
    <row r="1" ht="15.0" customHeight="1">
      <c r="A1" s="5" t="s">
        <v>2</v>
      </c>
      <c r="B1" s="5" t="s">
        <v>3</v>
      </c>
      <c r="C1" s="11" t="s">
        <v>232</v>
      </c>
      <c r="D1" s="5" t="s">
        <v>4</v>
      </c>
      <c r="E1" s="35" t="s">
        <v>233</v>
      </c>
      <c r="F1" s="35" t="s">
        <v>234</v>
      </c>
      <c r="G1" s="35" t="s">
        <v>235</v>
      </c>
      <c r="H1" s="35" t="s">
        <v>236</v>
      </c>
      <c r="I1" s="36" t="s">
        <v>237</v>
      </c>
      <c r="J1" s="36" t="s">
        <v>238</v>
      </c>
      <c r="K1" s="5" t="s">
        <v>201</v>
      </c>
      <c r="L1" s="4"/>
      <c r="M1" s="4"/>
    </row>
    <row r="2">
      <c r="A2" s="10">
        <v>1.0</v>
      </c>
      <c r="B2" s="11" t="s">
        <v>7</v>
      </c>
      <c r="C2" s="11" t="s">
        <v>5</v>
      </c>
      <c r="D2" s="10">
        <v>3.0</v>
      </c>
      <c r="E2" s="37" t="s">
        <v>239</v>
      </c>
      <c r="F2" s="37" t="s">
        <v>240</v>
      </c>
      <c r="G2" s="37" t="s">
        <v>241</v>
      </c>
      <c r="H2" s="38">
        <v>0.0</v>
      </c>
      <c r="I2" s="11" t="s">
        <v>242</v>
      </c>
      <c r="J2" s="10"/>
      <c r="K2" s="11" t="s">
        <v>243</v>
      </c>
      <c r="L2" s="4"/>
      <c r="M2" s="4"/>
    </row>
    <row r="3">
      <c r="A3" s="10">
        <v>2.0</v>
      </c>
      <c r="B3" s="5" t="s">
        <v>8</v>
      </c>
      <c r="C3" s="11" t="s">
        <v>5</v>
      </c>
      <c r="D3" s="10">
        <v>3.0</v>
      </c>
      <c r="E3" s="37" t="s">
        <v>239</v>
      </c>
      <c r="F3" s="37" t="s">
        <v>240</v>
      </c>
      <c r="G3" s="37" t="s">
        <v>241</v>
      </c>
      <c r="H3" s="38">
        <v>0.0</v>
      </c>
      <c r="I3" s="10"/>
      <c r="J3" s="10"/>
      <c r="K3" s="11" t="s">
        <v>243</v>
      </c>
      <c r="L3" s="4"/>
      <c r="M3" s="4"/>
    </row>
    <row r="4">
      <c r="A4" s="10">
        <v>3.0</v>
      </c>
      <c r="B4" s="5" t="s">
        <v>9</v>
      </c>
      <c r="C4" s="11" t="s">
        <v>5</v>
      </c>
      <c r="D4" s="10">
        <v>3.0</v>
      </c>
      <c r="E4" s="37" t="s">
        <v>239</v>
      </c>
      <c r="F4" s="37" t="s">
        <v>240</v>
      </c>
      <c r="G4" s="37" t="s">
        <v>241</v>
      </c>
      <c r="H4" s="38">
        <v>0.0</v>
      </c>
      <c r="I4" s="10"/>
      <c r="J4" s="10"/>
      <c r="K4" s="11" t="s">
        <v>243</v>
      </c>
      <c r="L4" s="4"/>
      <c r="M4" s="4"/>
    </row>
    <row r="5">
      <c r="A5" s="10">
        <v>4.0</v>
      </c>
      <c r="B5" s="5" t="s">
        <v>10</v>
      </c>
      <c r="C5" s="11" t="s">
        <v>5</v>
      </c>
      <c r="D5" s="10">
        <v>3.0</v>
      </c>
      <c r="E5" s="37" t="s">
        <v>239</v>
      </c>
      <c r="F5" s="37" t="s">
        <v>240</v>
      </c>
      <c r="G5" s="37" t="s">
        <v>241</v>
      </c>
      <c r="H5" s="38">
        <v>0.0</v>
      </c>
      <c r="I5" s="10"/>
      <c r="J5" s="10"/>
      <c r="K5" s="11" t="s">
        <v>244</v>
      </c>
      <c r="L5" s="4"/>
      <c r="M5" s="4"/>
    </row>
    <row r="6">
      <c r="A6" s="10">
        <v>5.0</v>
      </c>
      <c r="B6" s="11" t="s">
        <v>11</v>
      </c>
      <c r="C6" s="11" t="s">
        <v>5</v>
      </c>
      <c r="D6" s="10">
        <v>3.0</v>
      </c>
      <c r="E6" s="37" t="s">
        <v>239</v>
      </c>
      <c r="F6" s="37" t="s">
        <v>240</v>
      </c>
      <c r="G6" s="37" t="s">
        <v>241</v>
      </c>
      <c r="H6" s="38">
        <v>0.0</v>
      </c>
      <c r="I6" s="10"/>
      <c r="J6" s="10"/>
      <c r="K6" s="11" t="s">
        <v>243</v>
      </c>
      <c r="L6" s="4"/>
      <c r="M6" s="4"/>
    </row>
    <row r="7">
      <c r="A7" s="10">
        <v>6.0</v>
      </c>
      <c r="B7" s="11" t="s">
        <v>12</v>
      </c>
      <c r="C7" s="11" t="s">
        <v>5</v>
      </c>
      <c r="D7" s="10">
        <v>3.0</v>
      </c>
      <c r="E7" s="37" t="s">
        <v>239</v>
      </c>
      <c r="F7" s="37" t="s">
        <v>240</v>
      </c>
      <c r="G7" s="37" t="s">
        <v>241</v>
      </c>
      <c r="H7" s="38">
        <v>0.0</v>
      </c>
      <c r="I7" s="10"/>
      <c r="J7" s="10"/>
      <c r="K7" s="11" t="s">
        <v>243</v>
      </c>
      <c r="L7" s="4"/>
      <c r="M7" s="4"/>
    </row>
    <row r="8">
      <c r="A8" s="10">
        <v>7.0</v>
      </c>
      <c r="B8" s="5" t="s">
        <v>13</v>
      </c>
      <c r="C8" s="11" t="s">
        <v>5</v>
      </c>
      <c r="D8" s="10">
        <v>3.0</v>
      </c>
      <c r="E8" s="37" t="s">
        <v>239</v>
      </c>
      <c r="F8" s="37" t="s">
        <v>240</v>
      </c>
      <c r="G8" s="37" t="s">
        <v>241</v>
      </c>
      <c r="H8" s="38">
        <v>0.0</v>
      </c>
      <c r="I8" s="10"/>
      <c r="J8" s="10"/>
      <c r="K8" s="11" t="s">
        <v>243</v>
      </c>
      <c r="L8" s="4"/>
      <c r="M8" s="4"/>
    </row>
    <row r="9">
      <c r="A9" s="10">
        <v>8.0</v>
      </c>
      <c r="B9" s="5" t="s">
        <v>14</v>
      </c>
      <c r="C9" s="11" t="s">
        <v>5</v>
      </c>
      <c r="D9" s="10">
        <v>3.0</v>
      </c>
      <c r="E9" s="37" t="s">
        <v>239</v>
      </c>
      <c r="F9" s="37" t="s">
        <v>240</v>
      </c>
      <c r="G9" s="37" t="s">
        <v>241</v>
      </c>
      <c r="H9" s="38">
        <v>0.0</v>
      </c>
      <c r="I9" s="10"/>
      <c r="J9" s="10"/>
      <c r="K9" s="11" t="s">
        <v>243</v>
      </c>
      <c r="L9" s="4"/>
      <c r="M9" s="4"/>
    </row>
    <row r="10">
      <c r="A10" s="10">
        <v>9.0</v>
      </c>
      <c r="B10" s="5" t="s">
        <v>15</v>
      </c>
      <c r="C10" s="11" t="s">
        <v>5</v>
      </c>
      <c r="D10" s="10">
        <v>3.0</v>
      </c>
      <c r="E10" s="37" t="s">
        <v>239</v>
      </c>
      <c r="F10" s="37" t="s">
        <v>240</v>
      </c>
      <c r="G10" s="37" t="s">
        <v>241</v>
      </c>
      <c r="H10" s="38">
        <v>0.0</v>
      </c>
      <c r="I10" s="10"/>
      <c r="J10" s="10"/>
      <c r="K10" s="11" t="s">
        <v>243</v>
      </c>
      <c r="L10" s="4"/>
      <c r="M10" s="4"/>
    </row>
    <row r="11">
      <c r="A11" s="10">
        <v>10.0</v>
      </c>
      <c r="B11" s="5" t="s">
        <v>16</v>
      </c>
      <c r="C11" s="11" t="s">
        <v>5</v>
      </c>
      <c r="D11" s="10">
        <v>3.0</v>
      </c>
      <c r="E11" s="37" t="s">
        <v>239</v>
      </c>
      <c r="F11" s="37" t="s">
        <v>240</v>
      </c>
      <c r="G11" s="37" t="s">
        <v>241</v>
      </c>
      <c r="H11" s="38">
        <v>0.0</v>
      </c>
      <c r="I11" s="10"/>
      <c r="J11" s="10"/>
      <c r="K11" s="11" t="s">
        <v>243</v>
      </c>
      <c r="L11" s="4"/>
      <c r="M11" s="4"/>
    </row>
    <row r="12">
      <c r="A12" s="10">
        <v>11.0</v>
      </c>
      <c r="B12" s="11" t="s">
        <v>17</v>
      </c>
      <c r="C12" s="11" t="s">
        <v>5</v>
      </c>
      <c r="D12" s="10">
        <v>3.0</v>
      </c>
      <c r="E12" s="37" t="s">
        <v>239</v>
      </c>
      <c r="F12" s="37" t="s">
        <v>240</v>
      </c>
      <c r="G12" s="37" t="s">
        <v>241</v>
      </c>
      <c r="H12" s="38">
        <v>0.0</v>
      </c>
      <c r="I12" s="10"/>
      <c r="J12" s="10"/>
      <c r="K12" s="11" t="s">
        <v>243</v>
      </c>
      <c r="L12" s="4"/>
      <c r="M12" s="4"/>
    </row>
    <row r="13">
      <c r="A13" s="10">
        <v>12.0</v>
      </c>
      <c r="B13" s="5" t="s">
        <v>18</v>
      </c>
      <c r="C13" s="11" t="s">
        <v>5</v>
      </c>
      <c r="D13" s="10">
        <v>3.0</v>
      </c>
      <c r="E13" s="37" t="s">
        <v>239</v>
      </c>
      <c r="F13" s="37" t="s">
        <v>240</v>
      </c>
      <c r="G13" s="37" t="s">
        <v>241</v>
      </c>
      <c r="H13" s="38">
        <v>0.0</v>
      </c>
      <c r="I13" s="10"/>
      <c r="J13" s="10"/>
      <c r="K13" s="11" t="s">
        <v>245</v>
      </c>
      <c r="L13" s="4"/>
      <c r="M13" s="4"/>
    </row>
    <row r="14">
      <c r="A14" s="10">
        <v>13.0</v>
      </c>
      <c r="B14" s="5" t="s">
        <v>19</v>
      </c>
      <c r="C14" s="11" t="s">
        <v>5</v>
      </c>
      <c r="D14" s="10">
        <v>3.0</v>
      </c>
      <c r="E14" s="37" t="s">
        <v>239</v>
      </c>
      <c r="F14" s="37" t="s">
        <v>240</v>
      </c>
      <c r="G14" s="37" t="s">
        <v>241</v>
      </c>
      <c r="H14" s="38">
        <v>0.0</v>
      </c>
      <c r="I14" s="10"/>
      <c r="J14" s="10"/>
      <c r="K14" s="11" t="s">
        <v>246</v>
      </c>
      <c r="L14" s="4"/>
      <c r="M14" s="4"/>
    </row>
    <row r="15">
      <c r="A15" s="10">
        <v>14.0</v>
      </c>
      <c r="B15" s="11" t="s">
        <v>20</v>
      </c>
      <c r="C15" s="11" t="s">
        <v>5</v>
      </c>
      <c r="D15" s="10">
        <v>3.0</v>
      </c>
      <c r="E15" s="37" t="s">
        <v>239</v>
      </c>
      <c r="F15" s="37" t="s">
        <v>240</v>
      </c>
      <c r="G15" s="37" t="s">
        <v>241</v>
      </c>
      <c r="H15" s="38">
        <v>0.0</v>
      </c>
      <c r="I15" s="10"/>
      <c r="J15" s="10"/>
      <c r="K15" s="11" t="s">
        <v>243</v>
      </c>
      <c r="L15" s="4"/>
      <c r="M15" s="4"/>
    </row>
    <row r="16" ht="18.75" customHeight="1">
      <c r="A16" s="10">
        <v>15.0</v>
      </c>
      <c r="B16" s="11" t="s">
        <v>23</v>
      </c>
      <c r="C16" s="11" t="s">
        <v>21</v>
      </c>
      <c r="D16" s="10">
        <v>5.0</v>
      </c>
      <c r="E16" s="37" t="s">
        <v>205</v>
      </c>
      <c r="F16" s="39"/>
      <c r="G16" s="37" t="s">
        <v>241</v>
      </c>
      <c r="H16" s="38">
        <v>1.0</v>
      </c>
      <c r="I16" s="10"/>
      <c r="J16" s="10"/>
      <c r="K16" s="11" t="s">
        <v>243</v>
      </c>
      <c r="L16" s="4"/>
      <c r="M16" s="4"/>
    </row>
    <row r="17" ht="18.75" customHeight="1">
      <c r="A17" s="10">
        <v>16.0</v>
      </c>
      <c r="B17" s="5" t="s">
        <v>24</v>
      </c>
      <c r="C17" s="11" t="s">
        <v>21</v>
      </c>
      <c r="D17" s="10">
        <v>5.0</v>
      </c>
      <c r="E17" s="37" t="s">
        <v>205</v>
      </c>
      <c r="F17" s="39"/>
      <c r="G17" s="37" t="s">
        <v>241</v>
      </c>
      <c r="H17" s="38">
        <v>1.0</v>
      </c>
      <c r="I17" s="10"/>
      <c r="J17" s="10"/>
      <c r="K17" s="11" t="s">
        <v>244</v>
      </c>
      <c r="L17" s="4"/>
      <c r="M17" s="4"/>
    </row>
    <row r="18" ht="18.75" customHeight="1">
      <c r="A18" s="10">
        <v>17.0</v>
      </c>
      <c r="B18" s="5" t="s">
        <v>25</v>
      </c>
      <c r="C18" s="11" t="s">
        <v>21</v>
      </c>
      <c r="D18" s="10">
        <v>5.0</v>
      </c>
      <c r="E18" s="37" t="s">
        <v>205</v>
      </c>
      <c r="F18" s="39"/>
      <c r="G18" s="37" t="s">
        <v>241</v>
      </c>
      <c r="H18" s="38">
        <v>1.0</v>
      </c>
      <c r="I18" s="10"/>
      <c r="J18" s="10"/>
      <c r="K18" s="11" t="s">
        <v>243</v>
      </c>
      <c r="L18" s="4"/>
      <c r="M18" s="4"/>
    </row>
    <row r="19" ht="18.75" customHeight="1">
      <c r="A19" s="10">
        <v>18.0</v>
      </c>
      <c r="B19" s="11" t="s">
        <v>26</v>
      </c>
      <c r="C19" s="11" t="s">
        <v>21</v>
      </c>
      <c r="D19" s="10">
        <v>5.0</v>
      </c>
      <c r="E19" s="37" t="s">
        <v>205</v>
      </c>
      <c r="F19" s="39"/>
      <c r="G19" s="37" t="s">
        <v>241</v>
      </c>
      <c r="H19" s="38">
        <v>1.0</v>
      </c>
      <c r="I19" s="10"/>
      <c r="J19" s="10"/>
      <c r="K19" s="11" t="s">
        <v>243</v>
      </c>
      <c r="L19" s="4"/>
      <c r="M19" s="4"/>
    </row>
    <row r="20" ht="18.75" customHeight="1">
      <c r="A20" s="10">
        <v>19.0</v>
      </c>
      <c r="B20" s="11" t="s">
        <v>27</v>
      </c>
      <c r="C20" s="11" t="s">
        <v>21</v>
      </c>
      <c r="D20" s="10">
        <v>5.0</v>
      </c>
      <c r="E20" s="37" t="s">
        <v>205</v>
      </c>
      <c r="F20" s="39"/>
      <c r="G20" s="37" t="s">
        <v>241</v>
      </c>
      <c r="H20" s="38">
        <v>1.0</v>
      </c>
      <c r="I20" s="10"/>
      <c r="J20" s="10"/>
      <c r="K20" s="11" t="s">
        <v>243</v>
      </c>
      <c r="L20" s="4"/>
      <c r="M20" s="4"/>
    </row>
    <row r="21" ht="18.75" customHeight="1">
      <c r="A21" s="10">
        <v>20.0</v>
      </c>
      <c r="B21" s="11" t="s">
        <v>28</v>
      </c>
      <c r="C21" s="11" t="s">
        <v>21</v>
      </c>
      <c r="D21" s="10">
        <v>5.0</v>
      </c>
      <c r="E21" s="37" t="s">
        <v>205</v>
      </c>
      <c r="F21" s="39"/>
      <c r="G21" s="37" t="s">
        <v>241</v>
      </c>
      <c r="H21" s="38">
        <v>1.0</v>
      </c>
      <c r="I21" s="10"/>
      <c r="J21" s="10"/>
      <c r="K21" s="11" t="s">
        <v>243</v>
      </c>
      <c r="L21" s="4"/>
      <c r="M21" s="4"/>
    </row>
    <row r="22" ht="18.75" customHeight="1">
      <c r="A22" s="10">
        <v>21.0</v>
      </c>
      <c r="B22" s="5" t="s">
        <v>29</v>
      </c>
      <c r="C22" s="11" t="s">
        <v>21</v>
      </c>
      <c r="D22" s="10">
        <v>5.0</v>
      </c>
      <c r="E22" s="37" t="s">
        <v>205</v>
      </c>
      <c r="F22" s="39"/>
      <c r="G22" s="37" t="s">
        <v>241</v>
      </c>
      <c r="H22" s="38">
        <v>1.0</v>
      </c>
      <c r="I22" s="10"/>
      <c r="J22" s="10"/>
      <c r="K22" s="11" t="s">
        <v>243</v>
      </c>
      <c r="L22" s="4"/>
      <c r="M22" s="4"/>
    </row>
    <row r="23" ht="18.75" customHeight="1">
      <c r="A23" s="10">
        <v>22.0</v>
      </c>
      <c r="B23" s="11" t="s">
        <v>30</v>
      </c>
      <c r="C23" s="11" t="s">
        <v>21</v>
      </c>
      <c r="D23" s="10">
        <v>5.0</v>
      </c>
      <c r="E23" s="37" t="s">
        <v>205</v>
      </c>
      <c r="F23" s="39"/>
      <c r="G23" s="37" t="s">
        <v>241</v>
      </c>
      <c r="H23" s="38">
        <v>1.0</v>
      </c>
      <c r="I23" s="10"/>
      <c r="J23" s="10"/>
      <c r="K23" s="11" t="s">
        <v>243</v>
      </c>
      <c r="L23" s="4"/>
      <c r="M23" s="4"/>
    </row>
    <row r="24" ht="18.75" customHeight="1">
      <c r="A24" s="10">
        <v>23.0</v>
      </c>
      <c r="B24" s="5" t="s">
        <v>31</v>
      </c>
      <c r="C24" s="11" t="s">
        <v>21</v>
      </c>
      <c r="D24" s="10">
        <v>5.0</v>
      </c>
      <c r="E24" s="37" t="s">
        <v>205</v>
      </c>
      <c r="F24" s="39"/>
      <c r="G24" s="37" t="s">
        <v>241</v>
      </c>
      <c r="H24" s="38">
        <v>1.0</v>
      </c>
      <c r="I24" s="10"/>
      <c r="J24" s="10"/>
      <c r="K24" s="11" t="s">
        <v>243</v>
      </c>
      <c r="L24" s="4"/>
      <c r="M24" s="4"/>
    </row>
    <row r="25" ht="29.25" customHeight="1">
      <c r="A25" s="16">
        <v>24.0</v>
      </c>
      <c r="B25" s="17" t="s">
        <v>34</v>
      </c>
      <c r="C25" s="19" t="s">
        <v>32</v>
      </c>
      <c r="D25" s="16">
        <v>6.0</v>
      </c>
      <c r="E25" s="40" t="s">
        <v>247</v>
      </c>
      <c r="F25" s="40" t="s">
        <v>248</v>
      </c>
      <c r="G25" s="37" t="s">
        <v>241</v>
      </c>
      <c r="H25" s="38">
        <v>1.0</v>
      </c>
      <c r="I25" s="16"/>
      <c r="J25" s="16"/>
      <c r="K25" s="19" t="s">
        <v>243</v>
      </c>
      <c r="L25" s="18"/>
      <c r="M25" s="18"/>
    </row>
    <row r="26" ht="29.25" customHeight="1">
      <c r="A26" s="16">
        <v>25.0</v>
      </c>
      <c r="B26" s="19" t="s">
        <v>35</v>
      </c>
      <c r="C26" s="19" t="s">
        <v>32</v>
      </c>
      <c r="D26" s="16">
        <v>6.0</v>
      </c>
      <c r="E26" s="40" t="s">
        <v>247</v>
      </c>
      <c r="F26" s="40" t="s">
        <v>248</v>
      </c>
      <c r="G26" s="37" t="s">
        <v>241</v>
      </c>
      <c r="H26" s="38">
        <v>1.0</v>
      </c>
      <c r="I26" s="16"/>
      <c r="J26" s="16"/>
      <c r="K26" s="19" t="s">
        <v>243</v>
      </c>
      <c r="L26" s="18"/>
      <c r="M26" s="18"/>
    </row>
    <row r="27" ht="29.25" customHeight="1">
      <c r="A27" s="16">
        <v>26.0</v>
      </c>
      <c r="B27" s="19" t="s">
        <v>36</v>
      </c>
      <c r="C27" s="19" t="s">
        <v>32</v>
      </c>
      <c r="D27" s="16">
        <v>6.0</v>
      </c>
      <c r="E27" s="40" t="s">
        <v>247</v>
      </c>
      <c r="F27" s="40" t="s">
        <v>248</v>
      </c>
      <c r="G27" s="37" t="s">
        <v>241</v>
      </c>
      <c r="H27" s="38">
        <v>1.0</v>
      </c>
      <c r="I27" s="16"/>
      <c r="J27" s="16"/>
      <c r="K27" s="19" t="s">
        <v>243</v>
      </c>
      <c r="L27" s="18"/>
      <c r="M27" s="18"/>
    </row>
    <row r="28" ht="29.25" customHeight="1">
      <c r="A28" s="16">
        <v>27.0</v>
      </c>
      <c r="B28" s="17" t="s">
        <v>37</v>
      </c>
      <c r="C28" s="19" t="s">
        <v>32</v>
      </c>
      <c r="D28" s="16">
        <v>6.0</v>
      </c>
      <c r="E28" s="40" t="s">
        <v>247</v>
      </c>
      <c r="F28" s="40" t="s">
        <v>248</v>
      </c>
      <c r="G28" s="37" t="s">
        <v>241</v>
      </c>
      <c r="H28" s="38">
        <v>1.0</v>
      </c>
      <c r="I28" s="16"/>
      <c r="J28" s="16"/>
      <c r="K28" s="19" t="s">
        <v>243</v>
      </c>
      <c r="L28" s="18"/>
      <c r="M28" s="18"/>
    </row>
    <row r="29" ht="29.25" customHeight="1">
      <c r="A29" s="16">
        <v>28.0</v>
      </c>
      <c r="B29" s="17" t="s">
        <v>38</v>
      </c>
      <c r="C29" s="19" t="s">
        <v>32</v>
      </c>
      <c r="D29" s="16">
        <v>6.0</v>
      </c>
      <c r="E29" s="40" t="s">
        <v>247</v>
      </c>
      <c r="F29" s="40" t="s">
        <v>248</v>
      </c>
      <c r="G29" s="37" t="s">
        <v>241</v>
      </c>
      <c r="H29" s="38">
        <v>1.0</v>
      </c>
      <c r="I29" s="16"/>
      <c r="J29" s="16"/>
      <c r="K29" s="19" t="s">
        <v>243</v>
      </c>
      <c r="L29" s="18"/>
      <c r="M29" s="18"/>
    </row>
    <row r="30" ht="29.25" customHeight="1">
      <c r="A30" s="16">
        <v>29.0</v>
      </c>
      <c r="B30" s="19" t="s">
        <v>39</v>
      </c>
      <c r="C30" s="19" t="s">
        <v>32</v>
      </c>
      <c r="D30" s="16">
        <v>6.0</v>
      </c>
      <c r="E30" s="40" t="s">
        <v>247</v>
      </c>
      <c r="F30" s="40" t="s">
        <v>248</v>
      </c>
      <c r="G30" s="37" t="s">
        <v>241</v>
      </c>
      <c r="H30" s="38">
        <v>1.0</v>
      </c>
      <c r="I30" s="16"/>
      <c r="J30" s="16"/>
      <c r="K30" s="19" t="s">
        <v>243</v>
      </c>
      <c r="L30" s="18"/>
      <c r="M30" s="18"/>
    </row>
    <row r="31" ht="29.25" customHeight="1">
      <c r="A31" s="16">
        <v>30.0</v>
      </c>
      <c r="B31" s="17" t="s">
        <v>40</v>
      </c>
      <c r="C31" s="19" t="s">
        <v>32</v>
      </c>
      <c r="D31" s="16">
        <v>6.0</v>
      </c>
      <c r="E31" s="40" t="s">
        <v>247</v>
      </c>
      <c r="F31" s="40" t="s">
        <v>248</v>
      </c>
      <c r="G31" s="37" t="s">
        <v>241</v>
      </c>
      <c r="H31" s="38">
        <v>1.0</v>
      </c>
      <c r="I31" s="16"/>
      <c r="J31" s="16"/>
      <c r="K31" s="19" t="s">
        <v>243</v>
      </c>
      <c r="L31" s="18"/>
      <c r="M31" s="18"/>
    </row>
    <row r="32" ht="19.5" customHeight="1">
      <c r="A32" s="10">
        <v>31.0</v>
      </c>
      <c r="B32" s="5" t="s">
        <v>43</v>
      </c>
      <c r="C32" s="11" t="s">
        <v>41</v>
      </c>
      <c r="D32" s="10">
        <v>1.0</v>
      </c>
      <c r="E32" s="37" t="s">
        <v>249</v>
      </c>
      <c r="F32" s="37" t="s">
        <v>250</v>
      </c>
      <c r="G32" s="37" t="s">
        <v>241</v>
      </c>
      <c r="H32" s="38">
        <v>2.0</v>
      </c>
      <c r="I32" s="10"/>
      <c r="J32" s="10"/>
      <c r="K32" s="11" t="s">
        <v>243</v>
      </c>
      <c r="L32" s="4"/>
      <c r="M32" s="4"/>
    </row>
    <row r="33" ht="19.5" customHeight="1">
      <c r="A33" s="10">
        <v>32.0</v>
      </c>
      <c r="B33" s="5" t="s">
        <v>44</v>
      </c>
      <c r="C33" s="11" t="s">
        <v>41</v>
      </c>
      <c r="D33" s="10">
        <v>1.0</v>
      </c>
      <c r="E33" s="37" t="s">
        <v>249</v>
      </c>
      <c r="F33" s="37" t="s">
        <v>250</v>
      </c>
      <c r="G33" s="37" t="s">
        <v>241</v>
      </c>
      <c r="H33" s="38">
        <v>2.0</v>
      </c>
      <c r="I33" s="10"/>
      <c r="J33" s="10"/>
      <c r="K33" s="11" t="s">
        <v>243</v>
      </c>
      <c r="L33" s="4"/>
      <c r="M33" s="4"/>
    </row>
    <row r="34" ht="19.5" customHeight="1">
      <c r="A34" s="10">
        <v>33.0</v>
      </c>
      <c r="B34" s="5" t="s">
        <v>45</v>
      </c>
      <c r="C34" s="11" t="s">
        <v>41</v>
      </c>
      <c r="D34" s="10">
        <v>1.0</v>
      </c>
      <c r="E34" s="37" t="s">
        <v>249</v>
      </c>
      <c r="F34" s="37" t="s">
        <v>250</v>
      </c>
      <c r="G34" s="37" t="s">
        <v>241</v>
      </c>
      <c r="H34" s="38">
        <v>2.0</v>
      </c>
      <c r="I34" s="10"/>
      <c r="J34" s="10"/>
      <c r="K34" s="11" t="s">
        <v>243</v>
      </c>
      <c r="L34" s="4"/>
      <c r="M34" s="4"/>
    </row>
    <row r="35" ht="19.5" customHeight="1">
      <c r="A35" s="10">
        <v>34.0</v>
      </c>
      <c r="B35" s="5" t="s">
        <v>46</v>
      </c>
      <c r="C35" s="11" t="s">
        <v>41</v>
      </c>
      <c r="D35" s="10">
        <v>1.0</v>
      </c>
      <c r="E35" s="37" t="s">
        <v>249</v>
      </c>
      <c r="F35" s="37" t="s">
        <v>250</v>
      </c>
      <c r="G35" s="37" t="s">
        <v>241</v>
      </c>
      <c r="H35" s="38">
        <v>2.0</v>
      </c>
      <c r="I35" s="10"/>
      <c r="J35" s="10"/>
      <c r="K35" s="11" t="s">
        <v>243</v>
      </c>
      <c r="L35" s="4"/>
      <c r="M35" s="4"/>
    </row>
    <row r="36" ht="19.5" customHeight="1">
      <c r="A36" s="10">
        <v>35.0</v>
      </c>
      <c r="B36" s="5" t="s">
        <v>47</v>
      </c>
      <c r="C36" s="11" t="s">
        <v>41</v>
      </c>
      <c r="D36" s="10">
        <v>1.0</v>
      </c>
      <c r="E36" s="37" t="s">
        <v>249</v>
      </c>
      <c r="F36" s="37" t="s">
        <v>250</v>
      </c>
      <c r="G36" s="37" t="s">
        <v>241</v>
      </c>
      <c r="H36" s="38">
        <v>2.0</v>
      </c>
      <c r="I36" s="10"/>
      <c r="J36" s="10"/>
      <c r="K36" s="11" t="s">
        <v>243</v>
      </c>
      <c r="L36" s="4"/>
      <c r="M36" s="4"/>
    </row>
    <row r="37" ht="19.5" customHeight="1">
      <c r="A37" s="10">
        <v>36.0</v>
      </c>
      <c r="B37" s="5" t="s">
        <v>48</v>
      </c>
      <c r="C37" s="11" t="s">
        <v>41</v>
      </c>
      <c r="D37" s="10">
        <v>1.0</v>
      </c>
      <c r="E37" s="37" t="s">
        <v>249</v>
      </c>
      <c r="F37" s="37" t="s">
        <v>250</v>
      </c>
      <c r="G37" s="37" t="s">
        <v>241</v>
      </c>
      <c r="H37" s="38">
        <v>2.0</v>
      </c>
      <c r="I37" s="10"/>
      <c r="J37" s="10"/>
      <c r="K37" s="11" t="s">
        <v>244</v>
      </c>
      <c r="L37" s="4"/>
      <c r="M37" s="4"/>
    </row>
    <row r="38" ht="19.5" customHeight="1">
      <c r="A38" s="10">
        <v>37.0</v>
      </c>
      <c r="B38" s="5" t="s">
        <v>49</v>
      </c>
      <c r="C38" s="11" t="s">
        <v>41</v>
      </c>
      <c r="D38" s="10">
        <v>1.0</v>
      </c>
      <c r="E38" s="37" t="s">
        <v>249</v>
      </c>
      <c r="F38" s="37" t="s">
        <v>250</v>
      </c>
      <c r="G38" s="37" t="s">
        <v>241</v>
      </c>
      <c r="H38" s="38">
        <v>2.0</v>
      </c>
      <c r="I38" s="10"/>
      <c r="J38" s="10"/>
      <c r="K38" s="11" t="s">
        <v>243</v>
      </c>
      <c r="L38" s="4"/>
      <c r="M38" s="4"/>
    </row>
    <row r="39" ht="19.5" customHeight="1">
      <c r="A39" s="10">
        <v>38.0</v>
      </c>
      <c r="B39" s="5" t="s">
        <v>50</v>
      </c>
      <c r="C39" s="11" t="s">
        <v>41</v>
      </c>
      <c r="D39" s="10">
        <v>1.0</v>
      </c>
      <c r="E39" s="37" t="s">
        <v>249</v>
      </c>
      <c r="F39" s="37" t="s">
        <v>250</v>
      </c>
      <c r="G39" s="37" t="s">
        <v>241</v>
      </c>
      <c r="H39" s="38">
        <v>2.0</v>
      </c>
      <c r="I39" s="10"/>
      <c r="J39" s="10"/>
      <c r="K39" s="11" t="s">
        <v>243</v>
      </c>
      <c r="L39" s="4"/>
      <c r="M39" s="4"/>
    </row>
    <row r="40" ht="19.5" customHeight="1">
      <c r="A40" s="10">
        <v>39.0</v>
      </c>
      <c r="B40" s="5" t="s">
        <v>51</v>
      </c>
      <c r="C40" s="11" t="s">
        <v>41</v>
      </c>
      <c r="D40" s="10">
        <v>1.0</v>
      </c>
      <c r="E40" s="37" t="s">
        <v>249</v>
      </c>
      <c r="F40" s="37" t="s">
        <v>250</v>
      </c>
      <c r="G40" s="37" t="s">
        <v>241</v>
      </c>
      <c r="H40" s="38">
        <v>2.0</v>
      </c>
      <c r="I40" s="10"/>
      <c r="J40" s="10"/>
      <c r="K40" s="11" t="s">
        <v>243</v>
      </c>
      <c r="L40" s="4"/>
      <c r="M40" s="4"/>
    </row>
    <row r="41" ht="18.0" customHeight="1">
      <c r="A41" s="10">
        <v>40.0</v>
      </c>
      <c r="B41" s="11" t="s">
        <v>54</v>
      </c>
      <c r="C41" s="11" t="s">
        <v>52</v>
      </c>
      <c r="D41" s="10">
        <v>2.0</v>
      </c>
      <c r="E41" s="37" t="s">
        <v>251</v>
      </c>
      <c r="F41" s="37" t="s">
        <v>252</v>
      </c>
      <c r="G41" s="37" t="s">
        <v>241</v>
      </c>
      <c r="H41" s="38">
        <v>2.0</v>
      </c>
      <c r="I41" s="10"/>
      <c r="J41" s="10"/>
      <c r="K41" s="11" t="s">
        <v>243</v>
      </c>
      <c r="L41" s="4"/>
      <c r="M41" s="4"/>
    </row>
    <row r="42" ht="18.0" customHeight="1">
      <c r="A42" s="10">
        <v>41.0</v>
      </c>
      <c r="B42" s="11" t="s">
        <v>55</v>
      </c>
      <c r="C42" s="11" t="s">
        <v>52</v>
      </c>
      <c r="D42" s="10">
        <v>2.0</v>
      </c>
      <c r="E42" s="37" t="s">
        <v>251</v>
      </c>
      <c r="F42" s="37" t="s">
        <v>252</v>
      </c>
      <c r="G42" s="37" t="s">
        <v>241</v>
      </c>
      <c r="H42" s="38">
        <v>2.0</v>
      </c>
      <c r="I42" s="10"/>
      <c r="J42" s="10"/>
      <c r="K42" s="11" t="s">
        <v>243</v>
      </c>
      <c r="L42" s="4"/>
      <c r="M42" s="4"/>
    </row>
    <row r="43" ht="18.0" customHeight="1">
      <c r="A43" s="10">
        <v>42.0</v>
      </c>
      <c r="B43" s="5" t="s">
        <v>56</v>
      </c>
      <c r="C43" s="11" t="s">
        <v>52</v>
      </c>
      <c r="D43" s="10">
        <v>2.0</v>
      </c>
      <c r="E43" s="37" t="s">
        <v>251</v>
      </c>
      <c r="F43" s="37" t="s">
        <v>252</v>
      </c>
      <c r="G43" s="37" t="s">
        <v>241</v>
      </c>
      <c r="H43" s="38">
        <v>2.0</v>
      </c>
      <c r="I43" s="10"/>
      <c r="J43" s="10"/>
      <c r="K43" s="11" t="s">
        <v>243</v>
      </c>
      <c r="L43" s="4"/>
      <c r="M43" s="4"/>
    </row>
    <row r="44" ht="18.0" customHeight="1">
      <c r="A44" s="10">
        <v>43.0</v>
      </c>
      <c r="B44" s="5" t="s">
        <v>57</v>
      </c>
      <c r="C44" s="11" t="s">
        <v>52</v>
      </c>
      <c r="D44" s="10">
        <v>2.0</v>
      </c>
      <c r="E44" s="37" t="s">
        <v>251</v>
      </c>
      <c r="F44" s="37" t="s">
        <v>252</v>
      </c>
      <c r="G44" s="37" t="s">
        <v>241</v>
      </c>
      <c r="H44" s="38">
        <v>2.0</v>
      </c>
      <c r="I44" s="10"/>
      <c r="J44" s="10"/>
      <c r="K44" s="11" t="s">
        <v>243</v>
      </c>
      <c r="L44" s="4"/>
      <c r="M44" s="4"/>
    </row>
    <row r="45" ht="18.0" customHeight="1">
      <c r="A45" s="10">
        <v>44.0</v>
      </c>
      <c r="B45" s="5" t="s">
        <v>58</v>
      </c>
      <c r="C45" s="11" t="s">
        <v>52</v>
      </c>
      <c r="D45" s="10">
        <v>2.0</v>
      </c>
      <c r="E45" s="37" t="s">
        <v>251</v>
      </c>
      <c r="F45" s="37" t="s">
        <v>252</v>
      </c>
      <c r="G45" s="37" t="s">
        <v>241</v>
      </c>
      <c r="H45" s="38">
        <v>2.0</v>
      </c>
      <c r="I45" s="10"/>
      <c r="J45" s="10"/>
      <c r="K45" s="11" t="s">
        <v>243</v>
      </c>
      <c r="L45" s="4"/>
      <c r="M45" s="4"/>
    </row>
    <row r="46" ht="18.0" customHeight="1">
      <c r="A46" s="10">
        <v>45.0</v>
      </c>
      <c r="B46" s="5" t="s">
        <v>59</v>
      </c>
      <c r="C46" s="11" t="s">
        <v>52</v>
      </c>
      <c r="D46" s="10">
        <v>2.0</v>
      </c>
      <c r="E46" s="37" t="s">
        <v>251</v>
      </c>
      <c r="F46" s="37" t="s">
        <v>252</v>
      </c>
      <c r="G46" s="37" t="s">
        <v>241</v>
      </c>
      <c r="H46" s="38">
        <v>2.0</v>
      </c>
      <c r="I46" s="10"/>
      <c r="J46" s="10"/>
      <c r="K46" s="11" t="s">
        <v>243</v>
      </c>
      <c r="L46" s="4"/>
      <c r="M46" s="4"/>
    </row>
    <row r="47" ht="18.0" customHeight="1">
      <c r="A47" s="10">
        <v>46.0</v>
      </c>
      <c r="B47" s="11" t="s">
        <v>60</v>
      </c>
      <c r="C47" s="11" t="s">
        <v>52</v>
      </c>
      <c r="D47" s="10">
        <v>2.0</v>
      </c>
      <c r="E47" s="37" t="s">
        <v>251</v>
      </c>
      <c r="F47" s="37" t="s">
        <v>252</v>
      </c>
      <c r="G47" s="37" t="s">
        <v>241</v>
      </c>
      <c r="H47" s="38">
        <v>2.0</v>
      </c>
      <c r="I47" s="10"/>
      <c r="J47" s="10"/>
      <c r="K47" s="11" t="s">
        <v>243</v>
      </c>
      <c r="L47" s="4"/>
      <c r="M47" s="4"/>
    </row>
    <row r="48" ht="18.0" customHeight="1">
      <c r="A48" s="10">
        <v>47.0</v>
      </c>
      <c r="B48" s="5" t="s">
        <v>61</v>
      </c>
      <c r="C48" s="11" t="s">
        <v>52</v>
      </c>
      <c r="D48" s="10">
        <v>2.0</v>
      </c>
      <c r="E48" s="37" t="s">
        <v>251</v>
      </c>
      <c r="F48" s="37" t="s">
        <v>252</v>
      </c>
      <c r="G48" s="37" t="s">
        <v>241</v>
      </c>
      <c r="H48" s="38">
        <v>2.0</v>
      </c>
      <c r="I48" s="10"/>
      <c r="J48" s="10"/>
      <c r="K48" s="11" t="s">
        <v>253</v>
      </c>
      <c r="L48" s="4"/>
      <c r="M48" s="4"/>
    </row>
    <row r="49" ht="18.0" customHeight="1">
      <c r="A49" s="10">
        <v>48.0</v>
      </c>
      <c r="B49" s="5" t="s">
        <v>62</v>
      </c>
      <c r="C49" s="11" t="s">
        <v>52</v>
      </c>
      <c r="D49" s="10">
        <v>2.0</v>
      </c>
      <c r="E49" s="37" t="s">
        <v>251</v>
      </c>
      <c r="F49" s="37" t="s">
        <v>252</v>
      </c>
      <c r="G49" s="37" t="s">
        <v>241</v>
      </c>
      <c r="H49" s="38">
        <v>2.0</v>
      </c>
      <c r="I49" s="10"/>
      <c r="J49" s="10"/>
      <c r="K49" s="11" t="s">
        <v>243</v>
      </c>
      <c r="L49" s="4"/>
      <c r="M49" s="4"/>
    </row>
    <row r="50" ht="18.0" customHeight="1">
      <c r="A50" s="10">
        <v>49.0</v>
      </c>
      <c r="B50" s="11" t="s">
        <v>63</v>
      </c>
      <c r="C50" s="11" t="s">
        <v>52</v>
      </c>
      <c r="D50" s="10">
        <v>2.0</v>
      </c>
      <c r="E50" s="37" t="s">
        <v>251</v>
      </c>
      <c r="F50" s="37" t="s">
        <v>252</v>
      </c>
      <c r="G50" s="37" t="s">
        <v>241</v>
      </c>
      <c r="H50" s="38">
        <v>2.0</v>
      </c>
      <c r="I50" s="10"/>
      <c r="J50" s="10"/>
      <c r="K50" s="11" t="s">
        <v>243</v>
      </c>
      <c r="L50" s="4"/>
      <c r="M50" s="4"/>
    </row>
    <row r="51" ht="25.5" customHeight="1">
      <c r="A51" s="10">
        <v>50.0</v>
      </c>
      <c r="B51" s="11" t="s">
        <v>66</v>
      </c>
      <c r="C51" s="11" t="s">
        <v>64</v>
      </c>
      <c r="D51" s="10">
        <v>4.0</v>
      </c>
      <c r="E51" s="37" t="s">
        <v>254</v>
      </c>
      <c r="F51" s="39"/>
      <c r="G51" s="37" t="s">
        <v>241</v>
      </c>
      <c r="H51" s="38">
        <v>3.0</v>
      </c>
      <c r="I51" s="10"/>
      <c r="J51" s="10"/>
      <c r="K51" s="11" t="s">
        <v>243</v>
      </c>
      <c r="L51" s="4"/>
      <c r="M51" s="4"/>
    </row>
    <row r="52" ht="25.5" customHeight="1">
      <c r="A52" s="10">
        <v>51.0</v>
      </c>
      <c r="B52" s="11" t="s">
        <v>67</v>
      </c>
      <c r="C52" s="11" t="s">
        <v>64</v>
      </c>
      <c r="D52" s="10">
        <v>4.0</v>
      </c>
      <c r="E52" s="37" t="s">
        <v>254</v>
      </c>
      <c r="F52" s="39"/>
      <c r="G52" s="37" t="s">
        <v>241</v>
      </c>
      <c r="H52" s="38">
        <v>3.0</v>
      </c>
      <c r="I52" s="10"/>
      <c r="J52" s="10"/>
      <c r="K52" s="11" t="s">
        <v>243</v>
      </c>
      <c r="L52" s="4"/>
      <c r="M52" s="4"/>
    </row>
    <row r="53" ht="25.5" customHeight="1">
      <c r="A53" s="10">
        <v>52.0</v>
      </c>
      <c r="B53" s="5" t="s">
        <v>68</v>
      </c>
      <c r="C53" s="11" t="s">
        <v>64</v>
      </c>
      <c r="D53" s="10">
        <v>4.0</v>
      </c>
      <c r="E53" s="37" t="s">
        <v>254</v>
      </c>
      <c r="F53" s="39"/>
      <c r="G53" s="37" t="s">
        <v>241</v>
      </c>
      <c r="H53" s="38">
        <v>3.0</v>
      </c>
      <c r="I53" s="10"/>
      <c r="J53" s="10"/>
      <c r="K53" s="11" t="s">
        <v>243</v>
      </c>
      <c r="L53" s="4"/>
      <c r="M53" s="4"/>
    </row>
    <row r="54" ht="25.5" customHeight="1">
      <c r="A54" s="10">
        <v>53.0</v>
      </c>
      <c r="B54" s="11" t="s">
        <v>69</v>
      </c>
      <c r="C54" s="11" t="s">
        <v>64</v>
      </c>
      <c r="D54" s="10">
        <v>4.0</v>
      </c>
      <c r="E54" s="37" t="s">
        <v>254</v>
      </c>
      <c r="F54" s="39"/>
      <c r="G54" s="37" t="s">
        <v>241</v>
      </c>
      <c r="H54" s="38">
        <v>3.0</v>
      </c>
      <c r="I54" s="10"/>
      <c r="J54" s="10"/>
      <c r="K54" s="11" t="s">
        <v>253</v>
      </c>
      <c r="L54" s="4"/>
      <c r="M54" s="4"/>
    </row>
    <row r="55" ht="25.5" customHeight="1">
      <c r="A55" s="10">
        <v>54.0</v>
      </c>
      <c r="B55" s="11" t="s">
        <v>70</v>
      </c>
      <c r="C55" s="11" t="s">
        <v>64</v>
      </c>
      <c r="D55" s="10">
        <v>4.0</v>
      </c>
      <c r="E55" s="37" t="s">
        <v>254</v>
      </c>
      <c r="F55" s="39"/>
      <c r="G55" s="37" t="s">
        <v>241</v>
      </c>
      <c r="H55" s="38">
        <v>3.0</v>
      </c>
      <c r="I55" s="10"/>
      <c r="J55" s="10"/>
      <c r="K55" s="11" t="s">
        <v>243</v>
      </c>
      <c r="L55" s="4"/>
      <c r="M55" s="4"/>
    </row>
    <row r="56" ht="19.5" customHeight="1">
      <c r="A56" s="25">
        <v>55.0</v>
      </c>
      <c r="B56" s="11" t="s">
        <v>71</v>
      </c>
      <c r="C56" s="11" t="s">
        <v>64</v>
      </c>
      <c r="D56" s="10">
        <v>4.0</v>
      </c>
      <c r="E56" s="37" t="s">
        <v>254</v>
      </c>
      <c r="F56" s="37"/>
      <c r="G56" s="37" t="s">
        <v>241</v>
      </c>
      <c r="H56" s="38">
        <v>3.0</v>
      </c>
      <c r="I56" s="11" t="s">
        <v>242</v>
      </c>
      <c r="J56" s="10"/>
      <c r="K56" s="11" t="s">
        <v>243</v>
      </c>
      <c r="L56" s="4"/>
      <c r="M56" s="4"/>
    </row>
    <row r="57" ht="19.5" customHeight="1">
      <c r="A57" s="25">
        <v>56.0</v>
      </c>
      <c r="B57" s="11" t="s">
        <v>75</v>
      </c>
      <c r="C57" s="11" t="s">
        <v>73</v>
      </c>
      <c r="D57" s="10">
        <v>3.0</v>
      </c>
      <c r="E57" s="37" t="s">
        <v>255</v>
      </c>
      <c r="F57" s="37" t="s">
        <v>256</v>
      </c>
      <c r="G57" s="37" t="s">
        <v>257</v>
      </c>
      <c r="H57" s="38">
        <v>1.0</v>
      </c>
      <c r="I57" s="10"/>
      <c r="J57" s="10"/>
      <c r="K57" s="11" t="s">
        <v>243</v>
      </c>
      <c r="L57" s="4"/>
      <c r="M57" s="4"/>
    </row>
    <row r="58" ht="19.5" customHeight="1">
      <c r="A58" s="25">
        <v>57.0</v>
      </c>
      <c r="B58" s="11" t="s">
        <v>76</v>
      </c>
      <c r="C58" s="11" t="s">
        <v>73</v>
      </c>
      <c r="D58" s="10">
        <v>3.0</v>
      </c>
      <c r="E58" s="37" t="s">
        <v>255</v>
      </c>
      <c r="F58" s="37" t="s">
        <v>256</v>
      </c>
      <c r="G58" s="37" t="s">
        <v>257</v>
      </c>
      <c r="H58" s="38">
        <v>1.0</v>
      </c>
      <c r="I58" s="10"/>
      <c r="J58" s="10"/>
      <c r="K58" s="11" t="s">
        <v>243</v>
      </c>
      <c r="L58" s="4"/>
      <c r="M58" s="4"/>
    </row>
    <row r="59" ht="19.5" customHeight="1">
      <c r="A59" s="25">
        <v>58.0</v>
      </c>
      <c r="B59" s="11" t="s">
        <v>77</v>
      </c>
      <c r="C59" s="11" t="s">
        <v>73</v>
      </c>
      <c r="D59" s="10">
        <v>3.0</v>
      </c>
      <c r="E59" s="37" t="s">
        <v>255</v>
      </c>
      <c r="F59" s="37" t="s">
        <v>256</v>
      </c>
      <c r="G59" s="37" t="s">
        <v>257</v>
      </c>
      <c r="H59" s="38">
        <v>1.0</v>
      </c>
      <c r="I59" s="10"/>
      <c r="J59" s="10"/>
      <c r="K59" s="11" t="s">
        <v>243</v>
      </c>
      <c r="L59" s="4"/>
      <c r="M59" s="4"/>
    </row>
    <row r="60" ht="19.5" customHeight="1">
      <c r="A60" s="25">
        <v>59.0</v>
      </c>
      <c r="B60" s="5" t="s">
        <v>78</v>
      </c>
      <c r="C60" s="11" t="s">
        <v>73</v>
      </c>
      <c r="D60" s="10">
        <v>3.0</v>
      </c>
      <c r="E60" s="37" t="s">
        <v>255</v>
      </c>
      <c r="F60" s="37" t="s">
        <v>256</v>
      </c>
      <c r="G60" s="37" t="s">
        <v>257</v>
      </c>
      <c r="H60" s="38">
        <v>1.0</v>
      </c>
      <c r="I60" s="10"/>
      <c r="J60" s="10"/>
      <c r="K60" s="11" t="s">
        <v>244</v>
      </c>
      <c r="L60" s="4"/>
      <c r="M60" s="4"/>
    </row>
    <row r="61" ht="19.5" customHeight="1">
      <c r="A61" s="25">
        <v>60.0</v>
      </c>
      <c r="B61" s="5" t="s">
        <v>79</v>
      </c>
      <c r="C61" s="11" t="s">
        <v>73</v>
      </c>
      <c r="D61" s="10">
        <v>3.0</v>
      </c>
      <c r="E61" s="37" t="s">
        <v>255</v>
      </c>
      <c r="F61" s="37" t="s">
        <v>256</v>
      </c>
      <c r="G61" s="37" t="s">
        <v>257</v>
      </c>
      <c r="H61" s="38">
        <v>1.0</v>
      </c>
      <c r="I61" s="11" t="s">
        <v>242</v>
      </c>
      <c r="J61" s="10"/>
      <c r="K61" s="11" t="s">
        <v>243</v>
      </c>
      <c r="L61" s="4"/>
      <c r="M61" s="4"/>
    </row>
    <row r="62" ht="19.5" customHeight="1">
      <c r="A62" s="25">
        <v>61.0</v>
      </c>
      <c r="B62" s="5" t="s">
        <v>80</v>
      </c>
      <c r="C62" s="11" t="s">
        <v>73</v>
      </c>
      <c r="D62" s="10">
        <v>3.0</v>
      </c>
      <c r="E62" s="37" t="s">
        <v>255</v>
      </c>
      <c r="F62" s="37" t="s">
        <v>256</v>
      </c>
      <c r="G62" s="37" t="s">
        <v>257</v>
      </c>
      <c r="H62" s="38">
        <v>1.0</v>
      </c>
      <c r="I62" s="10"/>
      <c r="J62" s="10"/>
      <c r="K62" s="11" t="s">
        <v>243</v>
      </c>
      <c r="L62" s="4"/>
      <c r="M62" s="4"/>
    </row>
    <row r="63" ht="19.5" customHeight="1">
      <c r="A63" s="25">
        <v>62.0</v>
      </c>
      <c r="B63" s="11" t="s">
        <v>81</v>
      </c>
      <c r="C63" s="11" t="s">
        <v>73</v>
      </c>
      <c r="D63" s="10">
        <v>3.0</v>
      </c>
      <c r="E63" s="37" t="s">
        <v>255</v>
      </c>
      <c r="F63" s="37" t="s">
        <v>256</v>
      </c>
      <c r="G63" s="37" t="s">
        <v>257</v>
      </c>
      <c r="H63" s="38">
        <v>1.0</v>
      </c>
      <c r="I63" s="10"/>
      <c r="J63" s="10"/>
      <c r="K63" s="11" t="s">
        <v>243</v>
      </c>
      <c r="L63" s="4"/>
      <c r="M63" s="4"/>
    </row>
    <row r="64" ht="19.5" customHeight="1">
      <c r="A64" s="25">
        <v>63.0</v>
      </c>
      <c r="B64" s="5" t="s">
        <v>82</v>
      </c>
      <c r="C64" s="11" t="s">
        <v>73</v>
      </c>
      <c r="D64" s="10">
        <v>3.0</v>
      </c>
      <c r="E64" s="37" t="s">
        <v>255</v>
      </c>
      <c r="F64" s="37" t="s">
        <v>256</v>
      </c>
      <c r="G64" s="37" t="s">
        <v>257</v>
      </c>
      <c r="H64" s="38">
        <v>1.0</v>
      </c>
      <c r="I64" s="10"/>
      <c r="J64" s="10"/>
      <c r="K64" s="11" t="s">
        <v>243</v>
      </c>
      <c r="L64" s="4"/>
      <c r="M64" s="4"/>
    </row>
    <row r="65" ht="19.5" customHeight="1">
      <c r="A65" s="25">
        <v>64.0</v>
      </c>
      <c r="B65" s="5" t="s">
        <v>83</v>
      </c>
      <c r="C65" s="11" t="s">
        <v>73</v>
      </c>
      <c r="D65" s="10">
        <v>3.0</v>
      </c>
      <c r="E65" s="37" t="s">
        <v>255</v>
      </c>
      <c r="F65" s="37" t="s">
        <v>256</v>
      </c>
      <c r="G65" s="37" t="s">
        <v>257</v>
      </c>
      <c r="H65" s="38">
        <v>1.0</v>
      </c>
      <c r="I65" s="10"/>
      <c r="J65" s="10"/>
      <c r="K65" s="11" t="s">
        <v>243</v>
      </c>
      <c r="L65" s="4"/>
      <c r="M65" s="4"/>
    </row>
    <row r="66" ht="19.5" customHeight="1">
      <c r="A66" s="25">
        <v>65.0</v>
      </c>
      <c r="B66" s="11" t="s">
        <v>258</v>
      </c>
      <c r="C66" s="11" t="s">
        <v>73</v>
      </c>
      <c r="D66" s="10">
        <v>3.0</v>
      </c>
      <c r="E66" s="37" t="s">
        <v>255</v>
      </c>
      <c r="F66" s="37" t="s">
        <v>256</v>
      </c>
      <c r="G66" s="37" t="s">
        <v>257</v>
      </c>
      <c r="H66" s="38">
        <v>1.0</v>
      </c>
      <c r="I66" s="10"/>
      <c r="J66" s="10"/>
      <c r="K66" s="11" t="s">
        <v>243</v>
      </c>
      <c r="L66" s="4"/>
      <c r="M66" s="4"/>
    </row>
    <row r="67" ht="19.5" customHeight="1">
      <c r="A67" s="25">
        <v>66.0</v>
      </c>
      <c r="B67" s="5" t="s">
        <v>85</v>
      </c>
      <c r="C67" s="11" t="s">
        <v>73</v>
      </c>
      <c r="D67" s="10">
        <v>3.0</v>
      </c>
      <c r="E67" s="37" t="s">
        <v>255</v>
      </c>
      <c r="F67" s="37" t="s">
        <v>256</v>
      </c>
      <c r="G67" s="37" t="s">
        <v>257</v>
      </c>
      <c r="H67" s="38">
        <v>1.0</v>
      </c>
      <c r="I67" s="10"/>
      <c r="J67" s="10"/>
      <c r="K67" s="11" t="s">
        <v>243</v>
      </c>
      <c r="L67" s="4"/>
      <c r="M67" s="4"/>
    </row>
    <row r="68" ht="21.75" customHeight="1">
      <c r="A68" s="27">
        <v>67.0</v>
      </c>
      <c r="B68" s="11" t="s">
        <v>86</v>
      </c>
      <c r="C68" s="11" t="s">
        <v>73</v>
      </c>
      <c r="D68" s="27">
        <v>3.0</v>
      </c>
      <c r="E68" s="37" t="s">
        <v>255</v>
      </c>
      <c r="F68" s="37" t="s">
        <v>256</v>
      </c>
      <c r="G68" s="37" t="s">
        <v>257</v>
      </c>
      <c r="H68" s="38">
        <v>1.0</v>
      </c>
      <c r="I68" s="16"/>
      <c r="J68" s="16"/>
      <c r="K68" s="19" t="s">
        <v>243</v>
      </c>
      <c r="L68" s="18"/>
      <c r="M68" s="18"/>
    </row>
    <row r="69" ht="27.75" customHeight="1">
      <c r="A69" s="27">
        <v>68.0</v>
      </c>
      <c r="B69" s="17" t="s">
        <v>89</v>
      </c>
      <c r="C69" s="19" t="s">
        <v>87</v>
      </c>
      <c r="D69" s="16">
        <v>2.0</v>
      </c>
      <c r="E69" s="40" t="s">
        <v>259</v>
      </c>
      <c r="F69" s="40" t="s">
        <v>260</v>
      </c>
      <c r="G69" s="37" t="s">
        <v>257</v>
      </c>
      <c r="H69" s="38">
        <v>1.0</v>
      </c>
      <c r="I69" s="16"/>
      <c r="J69" s="16"/>
      <c r="K69" s="19" t="s">
        <v>243</v>
      </c>
      <c r="L69" s="18"/>
      <c r="M69" s="18"/>
    </row>
    <row r="70" ht="27.75" customHeight="1">
      <c r="A70" s="27">
        <v>69.0</v>
      </c>
      <c r="B70" s="17" t="s">
        <v>90</v>
      </c>
      <c r="C70" s="19" t="s">
        <v>87</v>
      </c>
      <c r="D70" s="16">
        <v>2.0</v>
      </c>
      <c r="E70" s="40" t="s">
        <v>259</v>
      </c>
      <c r="F70" s="40" t="s">
        <v>260</v>
      </c>
      <c r="G70" s="37" t="s">
        <v>257</v>
      </c>
      <c r="H70" s="38">
        <v>1.0</v>
      </c>
      <c r="I70" s="16"/>
      <c r="J70" s="16"/>
      <c r="K70" s="19" t="s">
        <v>243</v>
      </c>
      <c r="L70" s="18"/>
      <c r="M70" s="18"/>
    </row>
    <row r="71" ht="27.75" customHeight="1">
      <c r="A71" s="27">
        <v>70.0</v>
      </c>
      <c r="B71" s="19" t="s">
        <v>91</v>
      </c>
      <c r="C71" s="19" t="s">
        <v>87</v>
      </c>
      <c r="D71" s="16">
        <v>2.0</v>
      </c>
      <c r="E71" s="40" t="s">
        <v>259</v>
      </c>
      <c r="F71" s="40" t="s">
        <v>260</v>
      </c>
      <c r="G71" s="37" t="s">
        <v>257</v>
      </c>
      <c r="H71" s="38">
        <v>1.0</v>
      </c>
      <c r="I71" s="16"/>
      <c r="J71" s="16"/>
      <c r="K71" s="19" t="s">
        <v>243</v>
      </c>
      <c r="L71" s="18"/>
      <c r="M71" s="18"/>
    </row>
    <row r="72" ht="27.75" customHeight="1">
      <c r="A72" s="27">
        <v>71.0</v>
      </c>
      <c r="B72" s="17" t="s">
        <v>92</v>
      </c>
      <c r="C72" s="19" t="s">
        <v>87</v>
      </c>
      <c r="D72" s="16">
        <v>2.0</v>
      </c>
      <c r="E72" s="40" t="s">
        <v>259</v>
      </c>
      <c r="F72" s="40" t="s">
        <v>260</v>
      </c>
      <c r="G72" s="37" t="s">
        <v>257</v>
      </c>
      <c r="H72" s="38">
        <v>1.0</v>
      </c>
      <c r="I72" s="16"/>
      <c r="J72" s="16"/>
      <c r="K72" s="19" t="s">
        <v>243</v>
      </c>
      <c r="L72" s="18"/>
      <c r="M72" s="18"/>
    </row>
    <row r="73" ht="27.75" customHeight="1">
      <c r="A73" s="27">
        <v>72.0</v>
      </c>
      <c r="B73" s="17" t="s">
        <v>93</v>
      </c>
      <c r="C73" s="19" t="s">
        <v>87</v>
      </c>
      <c r="D73" s="16">
        <v>2.0</v>
      </c>
      <c r="E73" s="40" t="s">
        <v>259</v>
      </c>
      <c r="F73" s="40" t="s">
        <v>260</v>
      </c>
      <c r="G73" s="37" t="s">
        <v>257</v>
      </c>
      <c r="H73" s="38">
        <v>1.0</v>
      </c>
      <c r="I73" s="19" t="s">
        <v>242</v>
      </c>
      <c r="J73" s="16"/>
      <c r="K73" s="19" t="s">
        <v>243</v>
      </c>
      <c r="L73" s="18"/>
      <c r="M73" s="18"/>
    </row>
    <row r="74" ht="27.75" customHeight="1">
      <c r="A74" s="27">
        <v>73.0</v>
      </c>
      <c r="B74" s="17" t="s">
        <v>94</v>
      </c>
      <c r="C74" s="19" t="s">
        <v>87</v>
      </c>
      <c r="D74" s="16">
        <v>2.0</v>
      </c>
      <c r="E74" s="40" t="s">
        <v>259</v>
      </c>
      <c r="F74" s="40" t="s">
        <v>260</v>
      </c>
      <c r="G74" s="37" t="s">
        <v>257</v>
      </c>
      <c r="H74" s="38">
        <v>1.0</v>
      </c>
      <c r="I74" s="16"/>
      <c r="J74" s="16"/>
      <c r="K74" s="19" t="s">
        <v>243</v>
      </c>
      <c r="L74" s="18"/>
      <c r="M74" s="18"/>
    </row>
    <row r="75" ht="27.75" customHeight="1">
      <c r="A75" s="27">
        <v>74.0</v>
      </c>
      <c r="B75" s="17" t="s">
        <v>95</v>
      </c>
      <c r="C75" s="19" t="s">
        <v>87</v>
      </c>
      <c r="D75" s="16">
        <v>2.0</v>
      </c>
      <c r="E75" s="40" t="s">
        <v>259</v>
      </c>
      <c r="F75" s="40" t="s">
        <v>260</v>
      </c>
      <c r="G75" s="37" t="s">
        <v>257</v>
      </c>
      <c r="H75" s="38">
        <v>1.0</v>
      </c>
      <c r="I75" s="16"/>
      <c r="J75" s="16"/>
      <c r="K75" s="19" t="s">
        <v>243</v>
      </c>
      <c r="L75" s="18"/>
      <c r="M75" s="18"/>
    </row>
    <row r="76" ht="27.75" customHeight="1">
      <c r="A76" s="27">
        <v>75.0</v>
      </c>
      <c r="B76" s="17" t="s">
        <v>96</v>
      </c>
      <c r="C76" s="19" t="s">
        <v>87</v>
      </c>
      <c r="D76" s="16">
        <v>2.0</v>
      </c>
      <c r="E76" s="40" t="s">
        <v>259</v>
      </c>
      <c r="F76" s="40" t="s">
        <v>260</v>
      </c>
      <c r="G76" s="37" t="s">
        <v>257</v>
      </c>
      <c r="H76" s="38">
        <v>1.0</v>
      </c>
      <c r="I76" s="19" t="s">
        <v>242</v>
      </c>
      <c r="J76" s="16"/>
      <c r="K76" s="19" t="s">
        <v>243</v>
      </c>
      <c r="L76" s="18"/>
      <c r="M76" s="18"/>
    </row>
    <row r="77" ht="27.75" customHeight="1">
      <c r="A77" s="27">
        <v>76.0</v>
      </c>
      <c r="B77" s="17" t="s">
        <v>97</v>
      </c>
      <c r="C77" s="19" t="s">
        <v>87</v>
      </c>
      <c r="D77" s="27">
        <v>2.0</v>
      </c>
      <c r="E77" s="40" t="s">
        <v>259</v>
      </c>
      <c r="F77" s="40" t="s">
        <v>260</v>
      </c>
      <c r="G77" s="37" t="s">
        <v>257</v>
      </c>
      <c r="H77" s="38">
        <v>1.0</v>
      </c>
      <c r="I77" s="16"/>
      <c r="J77" s="16"/>
      <c r="K77" s="19" t="s">
        <v>243</v>
      </c>
      <c r="L77" s="18"/>
      <c r="M77" s="18"/>
    </row>
    <row r="78" ht="27.75" customHeight="1">
      <c r="A78" s="27">
        <v>77.0</v>
      </c>
      <c r="B78" s="19" t="s">
        <v>98</v>
      </c>
      <c r="C78" s="19" t="s">
        <v>87</v>
      </c>
      <c r="D78" s="27">
        <v>2.0</v>
      </c>
      <c r="E78" s="40" t="s">
        <v>259</v>
      </c>
      <c r="F78" s="40" t="s">
        <v>260</v>
      </c>
      <c r="G78" s="37" t="s">
        <v>257</v>
      </c>
      <c r="H78" s="38">
        <v>1.0</v>
      </c>
      <c r="I78" s="16"/>
      <c r="J78" s="16"/>
      <c r="K78" s="19" t="s">
        <v>243</v>
      </c>
      <c r="L78" s="18"/>
      <c r="M78" s="18"/>
    </row>
    <row r="79" ht="27.75" customHeight="1">
      <c r="A79" s="27">
        <v>78.0</v>
      </c>
      <c r="B79" s="19" t="s">
        <v>99</v>
      </c>
      <c r="C79" s="19" t="s">
        <v>87</v>
      </c>
      <c r="D79" s="27">
        <v>2.0</v>
      </c>
      <c r="E79" s="40" t="s">
        <v>259</v>
      </c>
      <c r="F79" s="40" t="s">
        <v>260</v>
      </c>
      <c r="G79" s="37" t="s">
        <v>257</v>
      </c>
      <c r="H79" s="38">
        <v>1.0</v>
      </c>
      <c r="I79" s="16"/>
      <c r="J79" s="16"/>
      <c r="K79" s="19" t="s">
        <v>243</v>
      </c>
      <c r="L79" s="18"/>
      <c r="M79" s="18"/>
    </row>
    <row r="80" ht="27.75" customHeight="1">
      <c r="A80" s="27">
        <v>79.0</v>
      </c>
      <c r="B80" s="19" t="s">
        <v>100</v>
      </c>
      <c r="C80" s="19" t="s">
        <v>87</v>
      </c>
      <c r="D80" s="16">
        <v>2.0</v>
      </c>
      <c r="E80" s="40" t="s">
        <v>259</v>
      </c>
      <c r="F80" s="40" t="s">
        <v>260</v>
      </c>
      <c r="G80" s="37" t="s">
        <v>257</v>
      </c>
      <c r="H80" s="38">
        <v>1.0</v>
      </c>
      <c r="I80" s="16"/>
      <c r="J80" s="16"/>
      <c r="K80" s="19" t="s">
        <v>243</v>
      </c>
      <c r="L80" s="18"/>
      <c r="M80" s="18"/>
    </row>
    <row r="81" ht="18.0" customHeight="1">
      <c r="A81" s="25">
        <v>80.0</v>
      </c>
      <c r="B81" s="5" t="s">
        <v>103</v>
      </c>
      <c r="C81" s="11" t="s">
        <v>101</v>
      </c>
      <c r="D81" s="10">
        <v>4.0</v>
      </c>
      <c r="E81" s="37" t="s">
        <v>261</v>
      </c>
      <c r="F81" s="37" t="s">
        <v>262</v>
      </c>
      <c r="G81" s="37" t="s">
        <v>257</v>
      </c>
      <c r="H81" s="38">
        <v>1.0</v>
      </c>
      <c r="I81" s="10"/>
      <c r="J81" s="10"/>
      <c r="K81" s="11" t="s">
        <v>243</v>
      </c>
      <c r="L81" s="4"/>
      <c r="M81" s="4"/>
    </row>
    <row r="82" ht="18.0" customHeight="1">
      <c r="A82" s="25">
        <v>81.0</v>
      </c>
      <c r="B82" s="5" t="s">
        <v>104</v>
      </c>
      <c r="C82" s="11" t="s">
        <v>101</v>
      </c>
      <c r="D82" s="10">
        <v>4.0</v>
      </c>
      <c r="E82" s="37" t="s">
        <v>261</v>
      </c>
      <c r="F82" s="37" t="s">
        <v>262</v>
      </c>
      <c r="G82" s="37" t="s">
        <v>257</v>
      </c>
      <c r="H82" s="38">
        <v>1.0</v>
      </c>
      <c r="I82" s="10"/>
      <c r="J82" s="10"/>
      <c r="K82" s="11" t="s">
        <v>243</v>
      </c>
      <c r="L82" s="4"/>
      <c r="M82" s="4"/>
    </row>
    <row r="83" ht="18.0" customHeight="1">
      <c r="A83" s="25">
        <v>82.0</v>
      </c>
      <c r="B83" s="5" t="s">
        <v>105</v>
      </c>
      <c r="C83" s="11" t="s">
        <v>101</v>
      </c>
      <c r="D83" s="10">
        <v>4.0</v>
      </c>
      <c r="E83" s="37" t="s">
        <v>261</v>
      </c>
      <c r="F83" s="37" t="s">
        <v>262</v>
      </c>
      <c r="G83" s="37" t="s">
        <v>257</v>
      </c>
      <c r="H83" s="38">
        <v>1.0</v>
      </c>
      <c r="I83" s="10"/>
      <c r="J83" s="10"/>
      <c r="K83" s="11" t="s">
        <v>243</v>
      </c>
      <c r="L83" s="4"/>
      <c r="M83" s="4"/>
    </row>
    <row r="84" ht="18.0" customHeight="1">
      <c r="A84" s="25">
        <v>83.0</v>
      </c>
      <c r="B84" s="5" t="s">
        <v>106</v>
      </c>
      <c r="C84" s="11" t="s">
        <v>101</v>
      </c>
      <c r="D84" s="10">
        <v>4.0</v>
      </c>
      <c r="E84" s="37" t="s">
        <v>261</v>
      </c>
      <c r="F84" s="37" t="s">
        <v>262</v>
      </c>
      <c r="G84" s="37" t="s">
        <v>257</v>
      </c>
      <c r="H84" s="38">
        <v>1.0</v>
      </c>
      <c r="I84" s="10"/>
      <c r="J84" s="10"/>
      <c r="K84" s="11" t="s">
        <v>243</v>
      </c>
      <c r="L84" s="4"/>
      <c r="M84" s="4"/>
    </row>
    <row r="85" ht="18.0" customHeight="1">
      <c r="A85" s="25">
        <v>84.0</v>
      </c>
      <c r="B85" s="5" t="s">
        <v>107</v>
      </c>
      <c r="C85" s="11" t="s">
        <v>101</v>
      </c>
      <c r="D85" s="10">
        <v>4.0</v>
      </c>
      <c r="E85" s="37" t="s">
        <v>261</v>
      </c>
      <c r="F85" s="37" t="s">
        <v>262</v>
      </c>
      <c r="G85" s="37" t="s">
        <v>257</v>
      </c>
      <c r="H85" s="38">
        <v>1.0</v>
      </c>
      <c r="I85" s="10"/>
      <c r="J85" s="10"/>
      <c r="K85" s="11" t="s">
        <v>243</v>
      </c>
      <c r="L85" s="4"/>
      <c r="M85" s="4"/>
    </row>
    <row r="86" ht="18.0" customHeight="1">
      <c r="A86" s="25">
        <v>85.0</v>
      </c>
      <c r="B86" s="5" t="s">
        <v>108</v>
      </c>
      <c r="C86" s="11" t="s">
        <v>101</v>
      </c>
      <c r="D86" s="10">
        <v>4.0</v>
      </c>
      <c r="E86" s="37" t="s">
        <v>261</v>
      </c>
      <c r="F86" s="37" t="s">
        <v>262</v>
      </c>
      <c r="G86" s="37" t="s">
        <v>257</v>
      </c>
      <c r="H86" s="38">
        <v>1.0</v>
      </c>
      <c r="I86" s="10"/>
      <c r="J86" s="10"/>
      <c r="K86" s="11" t="s">
        <v>243</v>
      </c>
      <c r="L86" s="4"/>
      <c r="M86" s="4"/>
    </row>
    <row r="87" ht="18.0" customHeight="1">
      <c r="A87" s="25">
        <v>86.0</v>
      </c>
      <c r="B87" s="5" t="s">
        <v>109</v>
      </c>
      <c r="C87" s="11" t="s">
        <v>101</v>
      </c>
      <c r="D87" s="10">
        <v>4.0</v>
      </c>
      <c r="E87" s="37" t="s">
        <v>261</v>
      </c>
      <c r="F87" s="37" t="s">
        <v>262</v>
      </c>
      <c r="G87" s="37" t="s">
        <v>257</v>
      </c>
      <c r="H87" s="38">
        <v>1.0</v>
      </c>
      <c r="I87" s="10"/>
      <c r="J87" s="10"/>
      <c r="K87" s="11" t="s">
        <v>243</v>
      </c>
      <c r="L87" s="4"/>
      <c r="M87" s="4"/>
    </row>
    <row r="88" ht="18.0" customHeight="1">
      <c r="A88" s="25">
        <v>87.0</v>
      </c>
      <c r="B88" s="11" t="s">
        <v>110</v>
      </c>
      <c r="C88" s="11" t="s">
        <v>101</v>
      </c>
      <c r="D88" s="10">
        <v>4.0</v>
      </c>
      <c r="E88" s="37" t="s">
        <v>261</v>
      </c>
      <c r="F88" s="37" t="s">
        <v>262</v>
      </c>
      <c r="G88" s="37" t="s">
        <v>257</v>
      </c>
      <c r="H88" s="38">
        <v>1.0</v>
      </c>
      <c r="I88" s="10"/>
      <c r="J88" s="10"/>
      <c r="K88" s="11" t="s">
        <v>243</v>
      </c>
      <c r="L88" s="4"/>
      <c r="M88" s="4"/>
    </row>
    <row r="89" ht="18.0" customHeight="1">
      <c r="A89" s="25">
        <v>88.0</v>
      </c>
      <c r="B89" s="5" t="s">
        <v>111</v>
      </c>
      <c r="C89" s="11" t="s">
        <v>101</v>
      </c>
      <c r="D89" s="10">
        <v>4.0</v>
      </c>
      <c r="E89" s="37" t="s">
        <v>261</v>
      </c>
      <c r="F89" s="37" t="s">
        <v>262</v>
      </c>
      <c r="G89" s="37" t="s">
        <v>257</v>
      </c>
      <c r="H89" s="38">
        <v>1.0</v>
      </c>
      <c r="I89" s="10"/>
      <c r="J89" s="10"/>
      <c r="K89" s="11" t="s">
        <v>243</v>
      </c>
      <c r="L89" s="4"/>
      <c r="M89" s="4"/>
    </row>
    <row r="90" ht="18.0" customHeight="1">
      <c r="A90" s="25">
        <v>89.0</v>
      </c>
      <c r="B90" s="5" t="s">
        <v>112</v>
      </c>
      <c r="C90" s="11" t="s">
        <v>101</v>
      </c>
      <c r="D90" s="10">
        <v>4.0</v>
      </c>
      <c r="E90" s="37" t="s">
        <v>261</v>
      </c>
      <c r="F90" s="37" t="s">
        <v>262</v>
      </c>
      <c r="G90" s="37" t="s">
        <v>257</v>
      </c>
      <c r="H90" s="38">
        <v>1.0</v>
      </c>
      <c r="I90" s="10"/>
      <c r="J90" s="10"/>
      <c r="K90" s="11" t="s">
        <v>243</v>
      </c>
      <c r="L90" s="4"/>
      <c r="M90" s="4"/>
    </row>
    <row r="91" ht="18.75" customHeight="1">
      <c r="A91" s="25">
        <v>90.0</v>
      </c>
      <c r="B91" s="11" t="s">
        <v>115</v>
      </c>
      <c r="C91" s="11" t="s">
        <v>113</v>
      </c>
      <c r="D91" s="10">
        <v>5.0</v>
      </c>
      <c r="E91" s="37" t="s">
        <v>263</v>
      </c>
      <c r="F91" s="37" t="s">
        <v>264</v>
      </c>
      <c r="G91" s="37" t="s">
        <v>257</v>
      </c>
      <c r="H91" s="38">
        <v>2.0</v>
      </c>
      <c r="I91" s="10"/>
      <c r="J91" s="10"/>
      <c r="K91" s="11" t="s">
        <v>243</v>
      </c>
      <c r="L91" s="4"/>
      <c r="M91" s="4"/>
    </row>
    <row r="92" ht="18.75" customHeight="1">
      <c r="A92" s="25">
        <v>91.0</v>
      </c>
      <c r="B92" s="11" t="s">
        <v>116</v>
      </c>
      <c r="C92" s="11" t="s">
        <v>113</v>
      </c>
      <c r="D92" s="10">
        <v>5.0</v>
      </c>
      <c r="E92" s="37" t="s">
        <v>263</v>
      </c>
      <c r="F92" s="37" t="s">
        <v>264</v>
      </c>
      <c r="G92" s="37" t="s">
        <v>257</v>
      </c>
      <c r="H92" s="38">
        <v>2.0</v>
      </c>
      <c r="I92" s="10"/>
      <c r="J92" s="10"/>
      <c r="K92" s="11" t="s">
        <v>243</v>
      </c>
      <c r="L92" s="4"/>
      <c r="M92" s="4"/>
    </row>
    <row r="93" ht="18.75" customHeight="1">
      <c r="A93" s="25">
        <v>92.0</v>
      </c>
      <c r="B93" s="5" t="s">
        <v>117</v>
      </c>
      <c r="C93" s="11" t="s">
        <v>113</v>
      </c>
      <c r="D93" s="10">
        <v>5.0</v>
      </c>
      <c r="E93" s="37" t="s">
        <v>263</v>
      </c>
      <c r="F93" s="37" t="s">
        <v>264</v>
      </c>
      <c r="G93" s="37" t="s">
        <v>257</v>
      </c>
      <c r="H93" s="38">
        <v>2.0</v>
      </c>
      <c r="I93" s="10"/>
      <c r="J93" s="10"/>
      <c r="K93" s="11" t="s">
        <v>243</v>
      </c>
      <c r="L93" s="4"/>
      <c r="M93" s="4"/>
    </row>
    <row r="94" ht="18.75" customHeight="1">
      <c r="A94" s="25">
        <v>93.0</v>
      </c>
      <c r="B94" s="5" t="s">
        <v>118</v>
      </c>
      <c r="C94" s="11" t="s">
        <v>113</v>
      </c>
      <c r="D94" s="10">
        <v>5.0</v>
      </c>
      <c r="E94" s="37" t="s">
        <v>263</v>
      </c>
      <c r="F94" s="37" t="s">
        <v>264</v>
      </c>
      <c r="G94" s="37" t="s">
        <v>257</v>
      </c>
      <c r="H94" s="38">
        <v>2.0</v>
      </c>
      <c r="I94" s="11" t="s">
        <v>242</v>
      </c>
      <c r="J94" s="10"/>
      <c r="K94" s="11" t="s">
        <v>243</v>
      </c>
      <c r="L94" s="4"/>
      <c r="M94" s="4"/>
    </row>
    <row r="95" ht="18.75" customHeight="1">
      <c r="A95" s="25">
        <v>94.0</v>
      </c>
      <c r="B95" s="5" t="s">
        <v>119</v>
      </c>
      <c r="C95" s="11" t="s">
        <v>113</v>
      </c>
      <c r="D95" s="10">
        <v>5.0</v>
      </c>
      <c r="E95" s="37" t="s">
        <v>263</v>
      </c>
      <c r="F95" s="37" t="s">
        <v>264</v>
      </c>
      <c r="G95" s="37" t="s">
        <v>257</v>
      </c>
      <c r="H95" s="38">
        <v>2.0</v>
      </c>
      <c r="I95" s="10"/>
      <c r="J95" s="10"/>
      <c r="K95" s="11" t="s">
        <v>243</v>
      </c>
      <c r="L95" s="4"/>
      <c r="M95" s="4"/>
    </row>
    <row r="96" ht="18.75" customHeight="1">
      <c r="A96" s="25">
        <v>95.0</v>
      </c>
      <c r="B96" s="5" t="s">
        <v>120</v>
      </c>
      <c r="C96" s="11" t="s">
        <v>113</v>
      </c>
      <c r="D96" s="10">
        <v>5.0</v>
      </c>
      <c r="E96" s="37" t="s">
        <v>263</v>
      </c>
      <c r="F96" s="37" t="s">
        <v>264</v>
      </c>
      <c r="G96" s="37" t="s">
        <v>257</v>
      </c>
      <c r="H96" s="38">
        <v>2.0</v>
      </c>
      <c r="I96" s="10"/>
      <c r="J96" s="10"/>
      <c r="K96" s="11" t="s">
        <v>243</v>
      </c>
      <c r="L96" s="4"/>
      <c r="M96" s="4"/>
    </row>
    <row r="97" ht="18.75" customHeight="1">
      <c r="A97" s="25">
        <v>96.0</v>
      </c>
      <c r="B97" s="11" t="s">
        <v>121</v>
      </c>
      <c r="C97" s="11" t="s">
        <v>113</v>
      </c>
      <c r="D97" s="10">
        <v>5.0</v>
      </c>
      <c r="E97" s="37" t="s">
        <v>263</v>
      </c>
      <c r="F97" s="37" t="s">
        <v>264</v>
      </c>
      <c r="G97" s="37" t="s">
        <v>257</v>
      </c>
      <c r="H97" s="38">
        <v>2.0</v>
      </c>
      <c r="I97" s="10"/>
      <c r="J97" s="10"/>
      <c r="K97" s="11" t="s">
        <v>243</v>
      </c>
      <c r="L97" s="4"/>
      <c r="M97" s="4"/>
    </row>
    <row r="98" ht="18.75" customHeight="1">
      <c r="A98" s="25">
        <v>97.0</v>
      </c>
      <c r="B98" s="5" t="s">
        <v>122</v>
      </c>
      <c r="C98" s="11" t="s">
        <v>113</v>
      </c>
      <c r="D98" s="10">
        <v>5.0</v>
      </c>
      <c r="E98" s="37" t="s">
        <v>263</v>
      </c>
      <c r="F98" s="37" t="s">
        <v>264</v>
      </c>
      <c r="G98" s="37" t="s">
        <v>257</v>
      </c>
      <c r="H98" s="38">
        <v>2.0</v>
      </c>
      <c r="I98" s="10"/>
      <c r="J98" s="10"/>
      <c r="K98" s="11" t="s">
        <v>243</v>
      </c>
      <c r="L98" s="4"/>
      <c r="M98" s="4"/>
    </row>
    <row r="99" ht="18.75" customHeight="1">
      <c r="A99" s="25">
        <v>98.0</v>
      </c>
      <c r="B99" s="5" t="s">
        <v>123</v>
      </c>
      <c r="C99" s="11" t="s">
        <v>113</v>
      </c>
      <c r="D99" s="10">
        <v>5.0</v>
      </c>
      <c r="E99" s="37" t="s">
        <v>263</v>
      </c>
      <c r="F99" s="37" t="s">
        <v>264</v>
      </c>
      <c r="G99" s="37" t="s">
        <v>257</v>
      </c>
      <c r="H99" s="38">
        <v>2.0</v>
      </c>
      <c r="I99" s="10"/>
      <c r="J99" s="10"/>
      <c r="K99" s="11" t="s">
        <v>243</v>
      </c>
      <c r="L99" s="4"/>
      <c r="M99" s="4"/>
    </row>
    <row r="100" ht="18.75" customHeight="1">
      <c r="A100" s="25">
        <v>99.0</v>
      </c>
      <c r="B100" s="11" t="s">
        <v>124</v>
      </c>
      <c r="C100" s="11" t="s">
        <v>113</v>
      </c>
      <c r="D100" s="10">
        <v>5.0</v>
      </c>
      <c r="E100" s="37" t="s">
        <v>263</v>
      </c>
      <c r="F100" s="37" t="s">
        <v>264</v>
      </c>
      <c r="G100" s="37" t="s">
        <v>257</v>
      </c>
      <c r="H100" s="38">
        <v>2.0</v>
      </c>
      <c r="I100" s="10"/>
      <c r="J100" s="10"/>
      <c r="K100" s="11" t="s">
        <v>243</v>
      </c>
      <c r="L100" s="4"/>
      <c r="M100" s="4"/>
    </row>
    <row r="101" ht="18.75" customHeight="1">
      <c r="A101" s="25">
        <v>100.0</v>
      </c>
      <c r="B101" s="5" t="s">
        <v>125</v>
      </c>
      <c r="C101" s="11" t="s">
        <v>113</v>
      </c>
      <c r="D101" s="10">
        <v>5.0</v>
      </c>
      <c r="E101" s="37" t="s">
        <v>263</v>
      </c>
      <c r="F101" s="37" t="s">
        <v>264</v>
      </c>
      <c r="G101" s="37" t="s">
        <v>257</v>
      </c>
      <c r="H101" s="38">
        <v>2.0</v>
      </c>
      <c r="I101" s="10"/>
      <c r="J101" s="10"/>
      <c r="K101" s="11" t="s">
        <v>243</v>
      </c>
      <c r="L101" s="4"/>
      <c r="M101" s="4"/>
    </row>
    <row r="102" ht="15.75" customHeight="1">
      <c r="A102" s="25">
        <v>101.0</v>
      </c>
      <c r="B102" s="5" t="s">
        <v>128</v>
      </c>
      <c r="C102" s="11" t="s">
        <v>126</v>
      </c>
      <c r="D102" s="10">
        <v>1.0</v>
      </c>
      <c r="E102" s="37" t="s">
        <v>265</v>
      </c>
      <c r="F102" s="37" t="s">
        <v>266</v>
      </c>
      <c r="G102" s="37" t="s">
        <v>257</v>
      </c>
      <c r="H102" s="38">
        <v>2.0</v>
      </c>
      <c r="I102" s="10"/>
      <c r="J102" s="10"/>
      <c r="K102" s="11" t="s">
        <v>243</v>
      </c>
      <c r="L102" s="4"/>
      <c r="M102" s="4"/>
    </row>
    <row r="103" ht="15.75" customHeight="1">
      <c r="A103" s="25">
        <v>102.0</v>
      </c>
      <c r="B103" s="5" t="s">
        <v>129</v>
      </c>
      <c r="C103" s="11" t="s">
        <v>126</v>
      </c>
      <c r="D103" s="10">
        <v>1.0</v>
      </c>
      <c r="E103" s="37" t="s">
        <v>265</v>
      </c>
      <c r="F103" s="37" t="s">
        <v>266</v>
      </c>
      <c r="G103" s="37" t="s">
        <v>257</v>
      </c>
      <c r="H103" s="38">
        <v>2.0</v>
      </c>
      <c r="I103" s="11" t="s">
        <v>242</v>
      </c>
      <c r="J103" s="10"/>
      <c r="K103" s="11" t="s">
        <v>243</v>
      </c>
      <c r="L103" s="4"/>
      <c r="M103" s="4"/>
    </row>
    <row r="104" ht="15.75" customHeight="1">
      <c r="A104" s="25">
        <v>103.0</v>
      </c>
      <c r="B104" s="5" t="s">
        <v>130</v>
      </c>
      <c r="C104" s="11" t="s">
        <v>126</v>
      </c>
      <c r="D104" s="10">
        <v>1.0</v>
      </c>
      <c r="E104" s="37" t="s">
        <v>265</v>
      </c>
      <c r="F104" s="37" t="s">
        <v>266</v>
      </c>
      <c r="G104" s="37" t="s">
        <v>257</v>
      </c>
      <c r="H104" s="38">
        <v>2.0</v>
      </c>
      <c r="I104" s="10"/>
      <c r="J104" s="10"/>
      <c r="K104" s="11" t="s">
        <v>243</v>
      </c>
      <c r="L104" s="4"/>
      <c r="M104" s="4"/>
    </row>
    <row r="105" ht="15.75" customHeight="1">
      <c r="A105" s="25">
        <v>104.0</v>
      </c>
      <c r="B105" s="5" t="s">
        <v>131</v>
      </c>
      <c r="C105" s="11" t="s">
        <v>126</v>
      </c>
      <c r="D105" s="10">
        <v>1.0</v>
      </c>
      <c r="E105" s="37" t="s">
        <v>265</v>
      </c>
      <c r="F105" s="37" t="s">
        <v>266</v>
      </c>
      <c r="G105" s="37" t="s">
        <v>257</v>
      </c>
      <c r="H105" s="38">
        <v>2.0</v>
      </c>
      <c r="I105" s="10"/>
      <c r="J105" s="10"/>
      <c r="K105" s="11" t="s">
        <v>243</v>
      </c>
      <c r="L105" s="4"/>
      <c r="M105" s="4"/>
    </row>
    <row r="106" ht="15.75" customHeight="1">
      <c r="A106" s="25">
        <v>105.0</v>
      </c>
      <c r="B106" s="5" t="s">
        <v>132</v>
      </c>
      <c r="C106" s="11" t="s">
        <v>126</v>
      </c>
      <c r="D106" s="10">
        <v>1.0</v>
      </c>
      <c r="E106" s="37" t="s">
        <v>265</v>
      </c>
      <c r="F106" s="37" t="s">
        <v>266</v>
      </c>
      <c r="G106" s="37" t="s">
        <v>257</v>
      </c>
      <c r="H106" s="38">
        <v>2.0</v>
      </c>
      <c r="I106" s="10"/>
      <c r="J106" s="10"/>
      <c r="K106" s="11" t="s">
        <v>243</v>
      </c>
      <c r="L106" s="4"/>
      <c r="M106" s="4"/>
    </row>
    <row r="107" ht="15.75" customHeight="1">
      <c r="A107" s="25">
        <v>106.0</v>
      </c>
      <c r="B107" s="5" t="s">
        <v>133</v>
      </c>
      <c r="C107" s="11" t="s">
        <v>126</v>
      </c>
      <c r="D107" s="10">
        <v>1.0</v>
      </c>
      <c r="E107" s="37" t="s">
        <v>265</v>
      </c>
      <c r="F107" s="37" t="s">
        <v>266</v>
      </c>
      <c r="G107" s="37" t="s">
        <v>257</v>
      </c>
      <c r="H107" s="38">
        <v>2.0</v>
      </c>
      <c r="I107" s="10"/>
      <c r="J107" s="10"/>
      <c r="K107" s="11" t="s">
        <v>243</v>
      </c>
      <c r="L107" s="4"/>
      <c r="M107" s="4"/>
    </row>
    <row r="108" ht="15.75" customHeight="1">
      <c r="A108" s="25">
        <v>107.0</v>
      </c>
      <c r="B108" s="5" t="s">
        <v>134</v>
      </c>
      <c r="C108" s="11" t="s">
        <v>126</v>
      </c>
      <c r="D108" s="10">
        <v>1.0</v>
      </c>
      <c r="E108" s="37" t="s">
        <v>265</v>
      </c>
      <c r="F108" s="37" t="s">
        <v>266</v>
      </c>
      <c r="G108" s="37" t="s">
        <v>257</v>
      </c>
      <c r="H108" s="38">
        <v>2.0</v>
      </c>
      <c r="I108" s="10"/>
      <c r="J108" s="10"/>
      <c r="K108" s="11" t="s">
        <v>243</v>
      </c>
      <c r="L108" s="4"/>
      <c r="M108" s="4"/>
    </row>
    <row r="109" ht="15.75" customHeight="1">
      <c r="A109" s="25">
        <v>108.0</v>
      </c>
      <c r="B109" s="5" t="s">
        <v>135</v>
      </c>
      <c r="C109" s="11" t="s">
        <v>126</v>
      </c>
      <c r="D109" s="10">
        <v>1.0</v>
      </c>
      <c r="E109" s="37" t="s">
        <v>265</v>
      </c>
      <c r="F109" s="37" t="s">
        <v>266</v>
      </c>
      <c r="G109" s="37" t="s">
        <v>257</v>
      </c>
      <c r="H109" s="38">
        <v>2.0</v>
      </c>
      <c r="I109" s="11" t="s">
        <v>242</v>
      </c>
      <c r="J109" s="10"/>
      <c r="K109" s="11" t="s">
        <v>243</v>
      </c>
      <c r="L109" s="4"/>
      <c r="M109" s="4"/>
    </row>
    <row r="110" ht="15.75" customHeight="1">
      <c r="A110" s="25">
        <v>109.0</v>
      </c>
      <c r="B110" s="5" t="s">
        <v>136</v>
      </c>
      <c r="C110" s="11" t="s">
        <v>126</v>
      </c>
      <c r="D110" s="10">
        <v>1.0</v>
      </c>
      <c r="E110" s="37" t="s">
        <v>265</v>
      </c>
      <c r="F110" s="37" t="s">
        <v>266</v>
      </c>
      <c r="G110" s="37" t="s">
        <v>257</v>
      </c>
      <c r="H110" s="38">
        <v>2.0</v>
      </c>
      <c r="I110" s="10"/>
      <c r="J110" s="10"/>
      <c r="K110" s="11" t="s">
        <v>243</v>
      </c>
      <c r="L110" s="4"/>
      <c r="M110" s="4"/>
    </row>
    <row r="111" ht="15.75" customHeight="1">
      <c r="A111" s="25">
        <v>110.0</v>
      </c>
      <c r="B111" s="11" t="s">
        <v>137</v>
      </c>
      <c r="C111" s="11" t="s">
        <v>126</v>
      </c>
      <c r="D111" s="10">
        <v>1.0</v>
      </c>
      <c r="E111" s="37" t="s">
        <v>265</v>
      </c>
      <c r="F111" s="37" t="s">
        <v>266</v>
      </c>
      <c r="G111" s="37" t="s">
        <v>257</v>
      </c>
      <c r="H111" s="38">
        <v>2.0</v>
      </c>
      <c r="I111" s="10"/>
      <c r="J111" s="10"/>
      <c r="K111" s="11" t="s">
        <v>267</v>
      </c>
      <c r="L111" s="4"/>
      <c r="M111" s="4"/>
    </row>
    <row r="112" ht="15.75" customHeight="1">
      <c r="A112" s="25">
        <v>111.0</v>
      </c>
      <c r="B112" s="5" t="s">
        <v>138</v>
      </c>
      <c r="C112" s="11" t="s">
        <v>126</v>
      </c>
      <c r="D112" s="10">
        <v>1.0</v>
      </c>
      <c r="E112" s="37" t="s">
        <v>265</v>
      </c>
      <c r="F112" s="37" t="s">
        <v>266</v>
      </c>
      <c r="G112" s="37" t="s">
        <v>257</v>
      </c>
      <c r="H112" s="38">
        <v>2.0</v>
      </c>
      <c r="I112" s="10"/>
      <c r="J112" s="10"/>
      <c r="K112" s="11" t="s">
        <v>243</v>
      </c>
      <c r="L112" s="4"/>
      <c r="M112" s="4"/>
    </row>
    <row r="113" ht="15.75" customHeight="1">
      <c r="A113" s="25">
        <v>112.0</v>
      </c>
      <c r="B113" s="11" t="s">
        <v>139</v>
      </c>
      <c r="C113" s="11" t="s">
        <v>126</v>
      </c>
      <c r="D113" s="10">
        <v>1.0</v>
      </c>
      <c r="E113" s="37" t="s">
        <v>265</v>
      </c>
      <c r="F113" s="37" t="s">
        <v>266</v>
      </c>
      <c r="G113" s="37" t="s">
        <v>257</v>
      </c>
      <c r="H113" s="38">
        <v>2.0</v>
      </c>
      <c r="I113" s="10"/>
      <c r="J113" s="10"/>
      <c r="K113" s="11" t="s">
        <v>267</v>
      </c>
      <c r="L113" s="4"/>
      <c r="M113" s="4"/>
    </row>
    <row r="114" ht="18.0" customHeight="1">
      <c r="A114" s="25">
        <v>113.0</v>
      </c>
      <c r="B114" s="11" t="s">
        <v>142</v>
      </c>
      <c r="C114" s="11" t="s">
        <v>140</v>
      </c>
      <c r="D114" s="10">
        <v>6.0</v>
      </c>
      <c r="E114" s="37" t="s">
        <v>268</v>
      </c>
      <c r="F114" s="37" t="s">
        <v>269</v>
      </c>
      <c r="G114" s="37" t="s">
        <v>257</v>
      </c>
      <c r="H114" s="38">
        <v>2.0</v>
      </c>
      <c r="I114" s="10"/>
      <c r="J114" s="10"/>
      <c r="K114" s="11" t="s">
        <v>243</v>
      </c>
      <c r="L114" s="4"/>
      <c r="M114" s="4"/>
    </row>
    <row r="115" ht="18.0" customHeight="1">
      <c r="A115" s="25">
        <v>114.0</v>
      </c>
      <c r="B115" s="11" t="s">
        <v>143</v>
      </c>
      <c r="C115" s="11" t="s">
        <v>140</v>
      </c>
      <c r="D115" s="10">
        <v>6.0</v>
      </c>
      <c r="E115" s="37" t="s">
        <v>268</v>
      </c>
      <c r="F115" s="37" t="s">
        <v>269</v>
      </c>
      <c r="G115" s="37" t="s">
        <v>257</v>
      </c>
      <c r="H115" s="38">
        <v>2.0</v>
      </c>
      <c r="I115" s="10"/>
      <c r="J115" s="10"/>
      <c r="K115" s="11" t="s">
        <v>243</v>
      </c>
      <c r="L115" s="4"/>
      <c r="M115" s="4"/>
    </row>
    <row r="116" ht="18.0" customHeight="1">
      <c r="A116" s="25">
        <v>115.0</v>
      </c>
      <c r="B116" s="11" t="s">
        <v>144</v>
      </c>
      <c r="C116" s="11" t="s">
        <v>140</v>
      </c>
      <c r="D116" s="10">
        <v>6.0</v>
      </c>
      <c r="E116" s="37" t="s">
        <v>268</v>
      </c>
      <c r="F116" s="37" t="s">
        <v>269</v>
      </c>
      <c r="G116" s="37" t="s">
        <v>257</v>
      </c>
      <c r="H116" s="38">
        <v>2.0</v>
      </c>
      <c r="I116" s="10"/>
      <c r="J116" s="10"/>
      <c r="K116" s="11" t="s">
        <v>243</v>
      </c>
      <c r="L116" s="4"/>
      <c r="M116" s="4"/>
    </row>
    <row r="117" ht="18.0" customHeight="1">
      <c r="A117" s="25">
        <v>116.0</v>
      </c>
      <c r="B117" s="11" t="s">
        <v>145</v>
      </c>
      <c r="C117" s="11" t="s">
        <v>140</v>
      </c>
      <c r="D117" s="10">
        <v>6.0</v>
      </c>
      <c r="E117" s="37" t="s">
        <v>268</v>
      </c>
      <c r="F117" s="37" t="s">
        <v>269</v>
      </c>
      <c r="G117" s="37" t="s">
        <v>257</v>
      </c>
      <c r="H117" s="38">
        <v>2.0</v>
      </c>
      <c r="I117" s="10"/>
      <c r="J117" s="10"/>
      <c r="K117" s="11" t="s">
        <v>243</v>
      </c>
      <c r="L117" s="4"/>
      <c r="M117" s="4"/>
    </row>
    <row r="118" ht="18.0" customHeight="1">
      <c r="A118" s="25">
        <v>117.0</v>
      </c>
      <c r="B118" s="5" t="s">
        <v>146</v>
      </c>
      <c r="C118" s="11" t="s">
        <v>140</v>
      </c>
      <c r="D118" s="10">
        <v>6.0</v>
      </c>
      <c r="E118" s="37" t="s">
        <v>268</v>
      </c>
      <c r="F118" s="37" t="s">
        <v>269</v>
      </c>
      <c r="G118" s="37" t="s">
        <v>257</v>
      </c>
      <c r="H118" s="38">
        <v>2.0</v>
      </c>
      <c r="I118" s="10"/>
      <c r="J118" s="10"/>
      <c r="K118" s="11" t="s">
        <v>243</v>
      </c>
      <c r="L118" s="4"/>
      <c r="M118" s="4"/>
    </row>
    <row r="119" ht="18.0" customHeight="1">
      <c r="A119" s="25">
        <v>118.0</v>
      </c>
      <c r="B119" s="5" t="s">
        <v>147</v>
      </c>
      <c r="C119" s="11" t="s">
        <v>140</v>
      </c>
      <c r="D119" s="10">
        <v>6.0</v>
      </c>
      <c r="E119" s="37" t="s">
        <v>268</v>
      </c>
      <c r="F119" s="37" t="s">
        <v>269</v>
      </c>
      <c r="G119" s="37" t="s">
        <v>257</v>
      </c>
      <c r="H119" s="38">
        <v>2.0</v>
      </c>
      <c r="I119" s="10"/>
      <c r="J119" s="10"/>
      <c r="K119" s="11" t="s">
        <v>243</v>
      </c>
      <c r="L119" s="4"/>
      <c r="M119" s="4"/>
    </row>
    <row r="120" ht="18.0" customHeight="1">
      <c r="A120" s="25">
        <v>119.0</v>
      </c>
      <c r="B120" s="5" t="s">
        <v>148</v>
      </c>
      <c r="C120" s="11" t="s">
        <v>140</v>
      </c>
      <c r="D120" s="10">
        <v>6.0</v>
      </c>
      <c r="E120" s="37" t="s">
        <v>268</v>
      </c>
      <c r="F120" s="37" t="s">
        <v>269</v>
      </c>
      <c r="G120" s="37" t="s">
        <v>257</v>
      </c>
      <c r="H120" s="38">
        <v>2.0</v>
      </c>
      <c r="I120" s="11" t="s">
        <v>242</v>
      </c>
      <c r="J120" s="10"/>
      <c r="K120" s="11" t="s">
        <v>243</v>
      </c>
      <c r="L120" s="4"/>
      <c r="M120" s="4"/>
    </row>
    <row r="121" ht="18.0" customHeight="1">
      <c r="A121" s="25">
        <v>120.0</v>
      </c>
      <c r="B121" s="11" t="s">
        <v>149</v>
      </c>
      <c r="C121" s="11" t="s">
        <v>140</v>
      </c>
      <c r="D121" s="10">
        <v>6.0</v>
      </c>
      <c r="E121" s="37" t="s">
        <v>268</v>
      </c>
      <c r="F121" s="37" t="s">
        <v>269</v>
      </c>
      <c r="G121" s="37" t="s">
        <v>257</v>
      </c>
      <c r="H121" s="38">
        <v>2.0</v>
      </c>
      <c r="I121" s="10"/>
      <c r="J121" s="10"/>
      <c r="K121" s="11" t="s">
        <v>243</v>
      </c>
      <c r="L121" s="4"/>
      <c r="M121" s="4"/>
    </row>
    <row r="122" ht="18.0" customHeight="1">
      <c r="A122" s="25">
        <v>121.0</v>
      </c>
      <c r="B122" s="5" t="s">
        <v>150</v>
      </c>
      <c r="C122" s="11" t="s">
        <v>140</v>
      </c>
      <c r="D122" s="10">
        <v>6.0</v>
      </c>
      <c r="E122" s="37" t="s">
        <v>268</v>
      </c>
      <c r="F122" s="37" t="s">
        <v>269</v>
      </c>
      <c r="G122" s="37" t="s">
        <v>257</v>
      </c>
      <c r="H122" s="38">
        <v>2.0</v>
      </c>
      <c r="I122" s="10"/>
      <c r="J122" s="10"/>
      <c r="K122" s="11" t="s">
        <v>243</v>
      </c>
      <c r="L122" s="4"/>
      <c r="M122" s="4"/>
    </row>
    <row r="123" ht="18.0" customHeight="1">
      <c r="A123" s="25">
        <v>122.0</v>
      </c>
      <c r="B123" s="11" t="s">
        <v>151</v>
      </c>
      <c r="C123" s="11" t="s">
        <v>140</v>
      </c>
      <c r="D123" s="10">
        <v>6.0</v>
      </c>
      <c r="E123" s="37" t="s">
        <v>268</v>
      </c>
      <c r="F123" s="37" t="s">
        <v>269</v>
      </c>
      <c r="G123" s="37" t="s">
        <v>257</v>
      </c>
      <c r="H123" s="38">
        <v>2.0</v>
      </c>
      <c r="I123" s="10"/>
      <c r="J123" s="10"/>
      <c r="K123" s="11" t="s">
        <v>243</v>
      </c>
      <c r="L123" s="4"/>
      <c r="M123" s="4"/>
    </row>
    <row r="124" ht="18.0" customHeight="1">
      <c r="A124" s="25">
        <v>123.0</v>
      </c>
      <c r="B124" s="11" t="s">
        <v>152</v>
      </c>
      <c r="C124" s="11" t="s">
        <v>140</v>
      </c>
      <c r="D124" s="10">
        <v>6.0</v>
      </c>
      <c r="E124" s="37" t="s">
        <v>268</v>
      </c>
      <c r="F124" s="37" t="s">
        <v>269</v>
      </c>
      <c r="G124" s="37" t="s">
        <v>257</v>
      </c>
      <c r="H124" s="38">
        <v>2.0</v>
      </c>
      <c r="I124" s="10"/>
      <c r="J124" s="10"/>
      <c r="K124" s="11" t="s">
        <v>243</v>
      </c>
      <c r="L124" s="4"/>
      <c r="M124" s="4"/>
    </row>
    <row r="125" ht="17.25" customHeight="1">
      <c r="A125" s="25">
        <v>124.0</v>
      </c>
      <c r="B125" s="11" t="s">
        <v>155</v>
      </c>
      <c r="C125" s="11" t="s">
        <v>153</v>
      </c>
      <c r="D125" s="10">
        <v>9.0</v>
      </c>
      <c r="E125" s="37" t="s">
        <v>270</v>
      </c>
      <c r="F125" s="37" t="s">
        <v>271</v>
      </c>
      <c r="G125" s="37" t="s">
        <v>257</v>
      </c>
      <c r="H125" s="38">
        <v>3.0</v>
      </c>
      <c r="I125" s="10"/>
      <c r="J125" s="10"/>
      <c r="K125" s="11" t="s">
        <v>243</v>
      </c>
      <c r="L125" s="4"/>
      <c r="M125" s="4"/>
    </row>
    <row r="126" ht="17.25" customHeight="1">
      <c r="A126" s="25">
        <v>125.0</v>
      </c>
      <c r="B126" s="11" t="s">
        <v>156</v>
      </c>
      <c r="C126" s="11" t="s">
        <v>153</v>
      </c>
      <c r="D126" s="10">
        <v>9.0</v>
      </c>
      <c r="E126" s="37" t="s">
        <v>270</v>
      </c>
      <c r="F126" s="37" t="s">
        <v>271</v>
      </c>
      <c r="G126" s="37" t="s">
        <v>257</v>
      </c>
      <c r="H126" s="38">
        <v>3.0</v>
      </c>
      <c r="I126" s="10"/>
      <c r="J126" s="10"/>
      <c r="K126" s="11" t="s">
        <v>243</v>
      </c>
      <c r="L126" s="4"/>
      <c r="M126" s="4"/>
    </row>
    <row r="127" ht="17.25" customHeight="1">
      <c r="A127" s="25">
        <v>126.0</v>
      </c>
      <c r="B127" s="5" t="s">
        <v>157</v>
      </c>
      <c r="C127" s="11" t="s">
        <v>153</v>
      </c>
      <c r="D127" s="10">
        <v>9.0</v>
      </c>
      <c r="E127" s="37" t="s">
        <v>270</v>
      </c>
      <c r="F127" s="37" t="s">
        <v>271</v>
      </c>
      <c r="G127" s="37" t="s">
        <v>257</v>
      </c>
      <c r="H127" s="38">
        <v>3.0</v>
      </c>
      <c r="I127" s="10"/>
      <c r="J127" s="10"/>
      <c r="K127" s="11" t="s">
        <v>243</v>
      </c>
      <c r="L127" s="4"/>
      <c r="M127" s="4"/>
    </row>
    <row r="128" ht="17.25" customHeight="1">
      <c r="A128" s="25">
        <v>127.0</v>
      </c>
      <c r="B128" s="5" t="s">
        <v>158</v>
      </c>
      <c r="C128" s="11" t="s">
        <v>153</v>
      </c>
      <c r="D128" s="10">
        <v>9.0</v>
      </c>
      <c r="E128" s="37" t="s">
        <v>270</v>
      </c>
      <c r="F128" s="37" t="s">
        <v>271</v>
      </c>
      <c r="G128" s="37" t="s">
        <v>257</v>
      </c>
      <c r="H128" s="38">
        <v>3.0</v>
      </c>
      <c r="I128" s="11" t="s">
        <v>242</v>
      </c>
      <c r="J128" s="10"/>
      <c r="K128" s="11" t="s">
        <v>243</v>
      </c>
      <c r="L128" s="4"/>
      <c r="M128" s="4"/>
    </row>
    <row r="129" ht="17.25" customHeight="1">
      <c r="A129" s="25">
        <v>128.0</v>
      </c>
      <c r="B129" s="5" t="s">
        <v>159</v>
      </c>
      <c r="C129" s="11" t="s">
        <v>153</v>
      </c>
      <c r="D129" s="10">
        <v>9.0</v>
      </c>
      <c r="E129" s="37" t="s">
        <v>270</v>
      </c>
      <c r="F129" s="37" t="s">
        <v>271</v>
      </c>
      <c r="G129" s="37" t="s">
        <v>257</v>
      </c>
      <c r="H129" s="38">
        <v>3.0</v>
      </c>
      <c r="I129" s="10"/>
      <c r="J129" s="10"/>
      <c r="K129" s="11" t="s">
        <v>243</v>
      </c>
      <c r="L129" s="4"/>
      <c r="M129" s="4"/>
    </row>
    <row r="130" ht="17.25" customHeight="1">
      <c r="A130" s="25">
        <v>129.0</v>
      </c>
      <c r="B130" s="5" t="s">
        <v>160</v>
      </c>
      <c r="C130" s="11" t="s">
        <v>153</v>
      </c>
      <c r="D130" s="10">
        <v>9.0</v>
      </c>
      <c r="E130" s="37" t="s">
        <v>270</v>
      </c>
      <c r="F130" s="37" t="s">
        <v>271</v>
      </c>
      <c r="G130" s="37" t="s">
        <v>257</v>
      </c>
      <c r="H130" s="38">
        <v>3.0</v>
      </c>
      <c r="I130" s="10"/>
      <c r="J130" s="10"/>
      <c r="K130" s="11" t="s">
        <v>243</v>
      </c>
      <c r="L130" s="4"/>
      <c r="M130" s="4"/>
    </row>
    <row r="131" ht="17.25" customHeight="1">
      <c r="A131" s="25">
        <v>130.0</v>
      </c>
      <c r="B131" s="5" t="s">
        <v>161</v>
      </c>
      <c r="C131" s="11" t="s">
        <v>153</v>
      </c>
      <c r="D131" s="10">
        <v>9.0</v>
      </c>
      <c r="E131" s="37" t="s">
        <v>270</v>
      </c>
      <c r="F131" s="37" t="s">
        <v>271</v>
      </c>
      <c r="G131" s="37" t="s">
        <v>257</v>
      </c>
      <c r="H131" s="38">
        <v>3.0</v>
      </c>
      <c r="I131" s="10"/>
      <c r="J131" s="10"/>
      <c r="K131" s="11" t="s">
        <v>243</v>
      </c>
      <c r="L131" s="4"/>
      <c r="M131" s="4"/>
    </row>
    <row r="132" ht="17.25" customHeight="1">
      <c r="A132" s="25">
        <v>131.0</v>
      </c>
      <c r="B132" s="11" t="s">
        <v>162</v>
      </c>
      <c r="C132" s="11" t="s">
        <v>153</v>
      </c>
      <c r="D132" s="10">
        <v>9.0</v>
      </c>
      <c r="E132" s="37" t="s">
        <v>270</v>
      </c>
      <c r="F132" s="37" t="s">
        <v>271</v>
      </c>
      <c r="G132" s="37" t="s">
        <v>257</v>
      </c>
      <c r="H132" s="38">
        <v>3.0</v>
      </c>
      <c r="I132" s="10"/>
      <c r="J132" s="10"/>
      <c r="K132" s="11" t="s">
        <v>243</v>
      </c>
      <c r="L132" s="4"/>
      <c r="M132" s="4"/>
    </row>
    <row r="133" ht="17.25" customHeight="1">
      <c r="A133" s="25">
        <v>132.0</v>
      </c>
      <c r="B133" s="5" t="s">
        <v>163</v>
      </c>
      <c r="C133" s="11" t="s">
        <v>153</v>
      </c>
      <c r="D133" s="10">
        <v>9.0</v>
      </c>
      <c r="E133" s="37" t="s">
        <v>270</v>
      </c>
      <c r="F133" s="37" t="s">
        <v>271</v>
      </c>
      <c r="G133" s="37" t="s">
        <v>257</v>
      </c>
      <c r="H133" s="38">
        <v>3.0</v>
      </c>
      <c r="I133" s="11" t="s">
        <v>242</v>
      </c>
      <c r="J133" s="10"/>
      <c r="K133" s="11" t="s">
        <v>243</v>
      </c>
      <c r="L133" s="4"/>
      <c r="M133" s="4"/>
    </row>
    <row r="134" ht="17.25" customHeight="1">
      <c r="A134" s="25">
        <v>133.0</v>
      </c>
      <c r="B134" s="11" t="s">
        <v>164</v>
      </c>
      <c r="C134" s="11" t="s">
        <v>153</v>
      </c>
      <c r="D134" s="10">
        <v>9.0</v>
      </c>
      <c r="E134" s="37" t="s">
        <v>270</v>
      </c>
      <c r="F134" s="37" t="s">
        <v>271</v>
      </c>
      <c r="G134" s="37" t="s">
        <v>257</v>
      </c>
      <c r="H134" s="38">
        <v>3.0</v>
      </c>
      <c r="I134" s="10"/>
      <c r="J134" s="10"/>
      <c r="K134" s="11" t="s">
        <v>243</v>
      </c>
      <c r="L134" s="4"/>
      <c r="M134" s="4"/>
    </row>
    <row r="135" ht="17.25" customHeight="1">
      <c r="A135" s="25">
        <v>134.0</v>
      </c>
      <c r="B135" s="5" t="s">
        <v>165</v>
      </c>
      <c r="C135" s="11" t="s">
        <v>153</v>
      </c>
      <c r="D135" s="10">
        <v>9.0</v>
      </c>
      <c r="E135" s="37" t="s">
        <v>270</v>
      </c>
      <c r="F135" s="37" t="s">
        <v>271</v>
      </c>
      <c r="G135" s="37" t="s">
        <v>257</v>
      </c>
      <c r="H135" s="38">
        <v>3.0</v>
      </c>
      <c r="I135" s="10"/>
      <c r="J135" s="10"/>
      <c r="K135" s="11" t="s">
        <v>243</v>
      </c>
      <c r="L135" s="4"/>
      <c r="M135" s="4"/>
    </row>
    <row r="136" ht="17.25" customHeight="1">
      <c r="A136" s="25">
        <v>135.0</v>
      </c>
      <c r="B136" s="5" t="s">
        <v>166</v>
      </c>
      <c r="C136" s="11" t="s">
        <v>153</v>
      </c>
      <c r="D136" s="10">
        <v>9.0</v>
      </c>
      <c r="E136" s="37" t="s">
        <v>270</v>
      </c>
      <c r="F136" s="37" t="s">
        <v>271</v>
      </c>
      <c r="G136" s="37" t="s">
        <v>257</v>
      </c>
      <c r="H136" s="38">
        <v>3.0</v>
      </c>
      <c r="I136" s="10"/>
      <c r="J136" s="10"/>
      <c r="K136" s="11" t="s">
        <v>243</v>
      </c>
      <c r="L136" s="4"/>
      <c r="M136" s="4"/>
    </row>
    <row r="137" ht="17.25" customHeight="1">
      <c r="A137" s="25">
        <v>136.0</v>
      </c>
      <c r="B137" s="5" t="s">
        <v>167</v>
      </c>
      <c r="C137" s="11" t="s">
        <v>153</v>
      </c>
      <c r="D137" s="10">
        <v>9.0</v>
      </c>
      <c r="E137" s="37" t="s">
        <v>270</v>
      </c>
      <c r="F137" s="37" t="s">
        <v>271</v>
      </c>
      <c r="G137" s="37" t="s">
        <v>257</v>
      </c>
      <c r="H137" s="38">
        <v>3.0</v>
      </c>
      <c r="I137" s="10"/>
      <c r="J137" s="10"/>
      <c r="K137" s="11" t="s">
        <v>243</v>
      </c>
      <c r="L137" s="4"/>
      <c r="M137" s="4"/>
    </row>
    <row r="138" ht="17.25" customHeight="1">
      <c r="A138" s="25">
        <v>137.0</v>
      </c>
      <c r="B138" s="5" t="s">
        <v>168</v>
      </c>
      <c r="C138" s="11" t="s">
        <v>153</v>
      </c>
      <c r="D138" s="10">
        <v>9.0</v>
      </c>
      <c r="E138" s="37" t="s">
        <v>270</v>
      </c>
      <c r="F138" s="37" t="s">
        <v>271</v>
      </c>
      <c r="G138" s="37" t="s">
        <v>257</v>
      </c>
      <c r="H138" s="38">
        <v>3.0</v>
      </c>
      <c r="I138" s="10"/>
      <c r="J138" s="10"/>
      <c r="K138" s="11" t="s">
        <v>243</v>
      </c>
      <c r="L138" s="4"/>
      <c r="M138" s="4"/>
    </row>
    <row r="139" ht="15.75" customHeight="1">
      <c r="A139" s="25">
        <v>138.0</v>
      </c>
      <c r="B139" s="11" t="s">
        <v>171</v>
      </c>
      <c r="C139" s="11" t="s">
        <v>169</v>
      </c>
      <c r="D139" s="10">
        <v>8.0</v>
      </c>
      <c r="E139" s="37" t="s">
        <v>272</v>
      </c>
      <c r="F139" s="37" t="s">
        <v>273</v>
      </c>
      <c r="G139" s="37" t="s">
        <v>257</v>
      </c>
      <c r="H139" s="38">
        <v>3.0</v>
      </c>
      <c r="I139" s="10"/>
      <c r="J139" s="10"/>
      <c r="K139" s="11" t="s">
        <v>243</v>
      </c>
      <c r="L139" s="4"/>
      <c r="M139" s="4"/>
    </row>
    <row r="140" ht="15.75" customHeight="1">
      <c r="A140" s="25">
        <v>139.0</v>
      </c>
      <c r="B140" s="5" t="s">
        <v>172</v>
      </c>
      <c r="C140" s="11" t="s">
        <v>169</v>
      </c>
      <c r="D140" s="10">
        <v>8.0</v>
      </c>
      <c r="E140" s="37" t="s">
        <v>272</v>
      </c>
      <c r="F140" s="37" t="s">
        <v>273</v>
      </c>
      <c r="G140" s="37" t="s">
        <v>257</v>
      </c>
      <c r="H140" s="38">
        <v>3.0</v>
      </c>
      <c r="I140" s="11" t="s">
        <v>242</v>
      </c>
      <c r="J140" s="10"/>
      <c r="K140" s="11" t="s">
        <v>243</v>
      </c>
      <c r="L140" s="4"/>
      <c r="M140" s="4"/>
    </row>
    <row r="141" ht="15.75" customHeight="1">
      <c r="A141" s="25">
        <v>140.0</v>
      </c>
      <c r="B141" s="5" t="s">
        <v>173</v>
      </c>
      <c r="C141" s="11" t="s">
        <v>169</v>
      </c>
      <c r="D141" s="10">
        <v>8.0</v>
      </c>
      <c r="E141" s="37" t="s">
        <v>272</v>
      </c>
      <c r="F141" s="37" t="s">
        <v>273</v>
      </c>
      <c r="G141" s="37" t="s">
        <v>257</v>
      </c>
      <c r="H141" s="38">
        <v>3.0</v>
      </c>
      <c r="I141" s="11" t="s">
        <v>242</v>
      </c>
      <c r="J141" s="10"/>
      <c r="K141" s="11" t="s">
        <v>243</v>
      </c>
      <c r="L141" s="4"/>
      <c r="M141" s="4"/>
    </row>
    <row r="142" ht="15.75" customHeight="1">
      <c r="A142" s="25">
        <v>141.0</v>
      </c>
      <c r="B142" s="5" t="s">
        <v>174</v>
      </c>
      <c r="C142" s="11" t="s">
        <v>169</v>
      </c>
      <c r="D142" s="10">
        <v>8.0</v>
      </c>
      <c r="E142" s="37" t="s">
        <v>272</v>
      </c>
      <c r="F142" s="37" t="s">
        <v>273</v>
      </c>
      <c r="G142" s="37" t="s">
        <v>257</v>
      </c>
      <c r="H142" s="38">
        <v>3.0</v>
      </c>
      <c r="I142" s="10"/>
      <c r="J142" s="10"/>
      <c r="K142" s="11" t="s">
        <v>243</v>
      </c>
      <c r="L142" s="4"/>
      <c r="M142" s="4"/>
    </row>
    <row r="143" ht="15.75" customHeight="1">
      <c r="A143" s="25">
        <v>142.0</v>
      </c>
      <c r="B143" s="11" t="s">
        <v>175</v>
      </c>
      <c r="C143" s="11" t="s">
        <v>169</v>
      </c>
      <c r="D143" s="10">
        <v>8.0</v>
      </c>
      <c r="E143" s="37" t="s">
        <v>272</v>
      </c>
      <c r="F143" s="37" t="s">
        <v>273</v>
      </c>
      <c r="G143" s="37" t="s">
        <v>257</v>
      </c>
      <c r="H143" s="38">
        <v>3.0</v>
      </c>
      <c r="I143" s="10"/>
      <c r="J143" s="10"/>
      <c r="K143" s="11" t="s">
        <v>243</v>
      </c>
      <c r="L143" s="4"/>
      <c r="M143" s="4"/>
    </row>
    <row r="144" ht="15.75" customHeight="1">
      <c r="A144" s="25">
        <v>143.0</v>
      </c>
      <c r="B144" s="5" t="s">
        <v>176</v>
      </c>
      <c r="C144" s="11" t="s">
        <v>169</v>
      </c>
      <c r="D144" s="10">
        <v>8.0</v>
      </c>
      <c r="E144" s="37" t="s">
        <v>272</v>
      </c>
      <c r="F144" s="37" t="s">
        <v>273</v>
      </c>
      <c r="G144" s="37" t="s">
        <v>257</v>
      </c>
      <c r="H144" s="38">
        <v>3.0</v>
      </c>
      <c r="I144" s="10"/>
      <c r="J144" s="10"/>
      <c r="K144" s="11" t="s">
        <v>243</v>
      </c>
      <c r="L144" s="4"/>
      <c r="M144" s="4"/>
    </row>
    <row r="145" ht="15.75" customHeight="1">
      <c r="A145" s="25">
        <v>144.0</v>
      </c>
      <c r="B145" s="5" t="s">
        <v>177</v>
      </c>
      <c r="C145" s="11" t="s">
        <v>169</v>
      </c>
      <c r="D145" s="10">
        <v>8.0</v>
      </c>
      <c r="E145" s="37" t="s">
        <v>272</v>
      </c>
      <c r="F145" s="37" t="s">
        <v>273</v>
      </c>
      <c r="G145" s="37" t="s">
        <v>257</v>
      </c>
      <c r="H145" s="38">
        <v>3.0</v>
      </c>
      <c r="I145" s="10"/>
      <c r="J145" s="10"/>
      <c r="K145" s="11" t="s">
        <v>243</v>
      </c>
      <c r="L145" s="4"/>
      <c r="M145" s="4"/>
    </row>
    <row r="146" ht="15.75" customHeight="1">
      <c r="A146" s="25">
        <v>145.0</v>
      </c>
      <c r="B146" s="5" t="s">
        <v>178</v>
      </c>
      <c r="C146" s="11" t="s">
        <v>169</v>
      </c>
      <c r="D146" s="10">
        <v>8.0</v>
      </c>
      <c r="E146" s="37" t="s">
        <v>272</v>
      </c>
      <c r="F146" s="37" t="s">
        <v>273</v>
      </c>
      <c r="G146" s="37" t="s">
        <v>257</v>
      </c>
      <c r="H146" s="38">
        <v>3.0</v>
      </c>
      <c r="I146" s="10"/>
      <c r="J146" s="10"/>
      <c r="K146" s="11" t="s">
        <v>243</v>
      </c>
      <c r="L146" s="4"/>
      <c r="M146" s="4"/>
    </row>
    <row r="147" ht="15.75" customHeight="1">
      <c r="A147" s="25">
        <v>146.0</v>
      </c>
      <c r="B147" s="5" t="s">
        <v>179</v>
      </c>
      <c r="C147" s="11" t="s">
        <v>169</v>
      </c>
      <c r="D147" s="10">
        <v>8.0</v>
      </c>
      <c r="E147" s="37" t="s">
        <v>272</v>
      </c>
      <c r="F147" s="37" t="s">
        <v>273</v>
      </c>
      <c r="G147" s="37" t="s">
        <v>257</v>
      </c>
      <c r="H147" s="38">
        <v>3.0</v>
      </c>
      <c r="I147" s="10"/>
      <c r="J147" s="10"/>
      <c r="K147" s="11" t="s">
        <v>243</v>
      </c>
      <c r="L147" s="4"/>
      <c r="M147" s="4"/>
    </row>
    <row r="148" ht="15.75" customHeight="1">
      <c r="A148" s="25">
        <v>147.0</v>
      </c>
      <c r="B148" s="11" t="s">
        <v>180</v>
      </c>
      <c r="C148" s="11" t="s">
        <v>169</v>
      </c>
      <c r="D148" s="10">
        <v>8.0</v>
      </c>
      <c r="E148" s="37" t="s">
        <v>272</v>
      </c>
      <c r="F148" s="37" t="s">
        <v>273</v>
      </c>
      <c r="G148" s="37" t="s">
        <v>257</v>
      </c>
      <c r="H148" s="38">
        <v>3.0</v>
      </c>
      <c r="I148" s="10"/>
      <c r="J148" s="10"/>
      <c r="K148" s="11" t="s">
        <v>243</v>
      </c>
      <c r="L148" s="4"/>
      <c r="M148" s="4"/>
    </row>
    <row r="149" ht="15.75" customHeight="1">
      <c r="A149" s="25">
        <v>148.0</v>
      </c>
      <c r="B149" s="11" t="s">
        <v>181</v>
      </c>
      <c r="C149" s="11" t="s">
        <v>169</v>
      </c>
      <c r="D149" s="10">
        <v>8.0</v>
      </c>
      <c r="E149" s="37" t="s">
        <v>272</v>
      </c>
      <c r="F149" s="37" t="s">
        <v>273</v>
      </c>
      <c r="G149" s="37" t="s">
        <v>257</v>
      </c>
      <c r="H149" s="38">
        <v>3.0</v>
      </c>
      <c r="I149" s="10"/>
      <c r="J149" s="10"/>
      <c r="K149" s="11" t="s">
        <v>243</v>
      </c>
      <c r="L149" s="4"/>
      <c r="M149" s="4"/>
    </row>
    <row r="150" ht="15.75" customHeight="1">
      <c r="A150" s="25">
        <v>149.0</v>
      </c>
      <c r="B150" s="11" t="s">
        <v>182</v>
      </c>
      <c r="C150" s="11" t="s">
        <v>169</v>
      </c>
      <c r="D150" s="10">
        <v>8.0</v>
      </c>
      <c r="E150" s="37" t="s">
        <v>272</v>
      </c>
      <c r="F150" s="37" t="s">
        <v>273</v>
      </c>
      <c r="G150" s="37" t="s">
        <v>257</v>
      </c>
      <c r="H150" s="38">
        <v>3.0</v>
      </c>
      <c r="I150" s="10"/>
      <c r="J150" s="10"/>
      <c r="K150" s="11" t="s">
        <v>243</v>
      </c>
      <c r="L150" s="4"/>
      <c r="M150" s="4"/>
    </row>
    <row r="151" ht="15.75" customHeight="1">
      <c r="A151" s="25">
        <v>150.0</v>
      </c>
      <c r="B151" s="11" t="s">
        <v>183</v>
      </c>
      <c r="C151" s="11" t="s">
        <v>169</v>
      </c>
      <c r="D151" s="10">
        <v>8.0</v>
      </c>
      <c r="E151" s="37" t="s">
        <v>272</v>
      </c>
      <c r="F151" s="37" t="s">
        <v>273</v>
      </c>
      <c r="G151" s="37" t="s">
        <v>257</v>
      </c>
      <c r="H151" s="38">
        <v>3.0</v>
      </c>
      <c r="I151" s="10"/>
      <c r="J151" s="10"/>
      <c r="K151" s="11" t="s">
        <v>243</v>
      </c>
      <c r="L151" s="4"/>
      <c r="M151" s="4"/>
    </row>
    <row r="152" ht="15.75" customHeight="1">
      <c r="A152" s="25">
        <v>151.0</v>
      </c>
      <c r="B152" s="11" t="s">
        <v>186</v>
      </c>
      <c r="C152" s="11" t="s">
        <v>184</v>
      </c>
      <c r="D152" s="10">
        <v>7.0</v>
      </c>
      <c r="E152" s="37" t="s">
        <v>247</v>
      </c>
      <c r="F152" s="37" t="s">
        <v>274</v>
      </c>
      <c r="G152" s="37" t="s">
        <v>257</v>
      </c>
      <c r="H152" s="38">
        <v>4.0</v>
      </c>
      <c r="I152" s="10"/>
      <c r="J152" s="10"/>
      <c r="K152" s="11" t="s">
        <v>243</v>
      </c>
      <c r="L152" s="4"/>
      <c r="M152" s="4"/>
    </row>
    <row r="153" ht="15.75" customHeight="1">
      <c r="A153" s="25">
        <v>152.0</v>
      </c>
      <c r="B153" s="5" t="s">
        <v>187</v>
      </c>
      <c r="C153" s="11" t="s">
        <v>184</v>
      </c>
      <c r="D153" s="10">
        <v>7.0</v>
      </c>
      <c r="E153" s="37" t="s">
        <v>247</v>
      </c>
      <c r="F153" s="37" t="s">
        <v>274</v>
      </c>
      <c r="G153" s="37" t="s">
        <v>257</v>
      </c>
      <c r="H153" s="38">
        <v>4.0</v>
      </c>
      <c r="I153" s="10"/>
      <c r="J153" s="10"/>
      <c r="K153" s="11" t="s">
        <v>243</v>
      </c>
      <c r="L153" s="4"/>
      <c r="M153" s="4"/>
    </row>
    <row r="154" ht="15.75" customHeight="1">
      <c r="A154" s="25">
        <v>153.0</v>
      </c>
      <c r="B154" s="11" t="s">
        <v>188</v>
      </c>
      <c r="C154" s="11" t="s">
        <v>184</v>
      </c>
      <c r="D154" s="10">
        <v>7.0</v>
      </c>
      <c r="E154" s="37" t="s">
        <v>247</v>
      </c>
      <c r="F154" s="37" t="s">
        <v>274</v>
      </c>
      <c r="G154" s="37" t="s">
        <v>257</v>
      </c>
      <c r="H154" s="38">
        <v>4.0</v>
      </c>
      <c r="I154" s="10"/>
      <c r="J154" s="10"/>
      <c r="K154" s="11" t="s">
        <v>243</v>
      </c>
      <c r="L154" s="4"/>
      <c r="M154" s="4"/>
    </row>
    <row r="155" ht="15.75" customHeight="1">
      <c r="A155" s="25">
        <v>154.0</v>
      </c>
      <c r="B155" s="5" t="s">
        <v>189</v>
      </c>
      <c r="C155" s="11" t="s">
        <v>184</v>
      </c>
      <c r="D155" s="10">
        <v>7.0</v>
      </c>
      <c r="E155" s="37" t="s">
        <v>247</v>
      </c>
      <c r="F155" s="37" t="s">
        <v>274</v>
      </c>
      <c r="G155" s="37" t="s">
        <v>257</v>
      </c>
      <c r="H155" s="38">
        <v>4.0</v>
      </c>
      <c r="I155" s="11" t="s">
        <v>242</v>
      </c>
      <c r="J155" s="10"/>
      <c r="K155" s="11" t="s">
        <v>243</v>
      </c>
      <c r="L155" s="4"/>
      <c r="M155" s="4"/>
    </row>
    <row r="156" ht="15.75" customHeight="1">
      <c r="A156" s="25">
        <v>155.0</v>
      </c>
      <c r="B156" s="5" t="s">
        <v>190</v>
      </c>
      <c r="C156" s="11" t="s">
        <v>184</v>
      </c>
      <c r="D156" s="10">
        <v>7.0</v>
      </c>
      <c r="E156" s="37" t="s">
        <v>247</v>
      </c>
      <c r="F156" s="37" t="s">
        <v>274</v>
      </c>
      <c r="G156" s="37" t="s">
        <v>257</v>
      </c>
      <c r="H156" s="38">
        <v>4.0</v>
      </c>
      <c r="I156" s="11" t="s">
        <v>242</v>
      </c>
      <c r="J156" s="10"/>
      <c r="K156" s="11" t="s">
        <v>243</v>
      </c>
      <c r="L156" s="4"/>
      <c r="M156" s="4"/>
    </row>
    <row r="157" ht="15.75" customHeight="1">
      <c r="A157" s="25">
        <v>156.0</v>
      </c>
      <c r="B157" s="5" t="s">
        <v>191</v>
      </c>
      <c r="C157" s="11" t="s">
        <v>184</v>
      </c>
      <c r="D157" s="10">
        <v>7.0</v>
      </c>
      <c r="E157" s="37" t="s">
        <v>247</v>
      </c>
      <c r="F157" s="37" t="s">
        <v>274</v>
      </c>
      <c r="G157" s="37" t="s">
        <v>257</v>
      </c>
      <c r="H157" s="38">
        <v>4.0</v>
      </c>
      <c r="I157" s="10"/>
      <c r="J157" s="10"/>
      <c r="K157" s="11" t="s">
        <v>243</v>
      </c>
      <c r="L157" s="4"/>
      <c r="M157" s="4"/>
    </row>
    <row r="158" ht="15.75" customHeight="1">
      <c r="A158" s="25">
        <v>157.0</v>
      </c>
      <c r="B158" s="5" t="s">
        <v>192</v>
      </c>
      <c r="C158" s="11" t="s">
        <v>184</v>
      </c>
      <c r="D158" s="10">
        <v>7.0</v>
      </c>
      <c r="E158" s="37" t="s">
        <v>247</v>
      </c>
      <c r="F158" s="37" t="s">
        <v>274</v>
      </c>
      <c r="G158" s="37" t="s">
        <v>257</v>
      </c>
      <c r="H158" s="38">
        <v>4.0</v>
      </c>
      <c r="I158" s="10"/>
      <c r="J158" s="10"/>
      <c r="K158" s="11" t="s">
        <v>243</v>
      </c>
      <c r="L158" s="4"/>
      <c r="M158" s="4"/>
    </row>
    <row r="159" ht="15.75" customHeight="1">
      <c r="A159" s="25">
        <v>158.0</v>
      </c>
      <c r="B159" s="5" t="s">
        <v>193</v>
      </c>
      <c r="C159" s="11" t="s">
        <v>184</v>
      </c>
      <c r="D159" s="10">
        <v>7.0</v>
      </c>
      <c r="E159" s="37" t="s">
        <v>247</v>
      </c>
      <c r="F159" s="37" t="s">
        <v>274</v>
      </c>
      <c r="G159" s="37" t="s">
        <v>257</v>
      </c>
      <c r="H159" s="38">
        <v>4.0</v>
      </c>
      <c r="I159" s="10"/>
      <c r="J159" s="10"/>
      <c r="K159" s="11" t="s">
        <v>243</v>
      </c>
      <c r="L159" s="4"/>
      <c r="M159" s="4"/>
    </row>
    <row r="160" ht="15.75" customHeight="1">
      <c r="A160" s="25">
        <v>159.0</v>
      </c>
      <c r="B160" s="5" t="s">
        <v>194</v>
      </c>
      <c r="C160" s="11" t="s">
        <v>184</v>
      </c>
      <c r="D160" s="10">
        <v>7.0</v>
      </c>
      <c r="E160" s="37" t="s">
        <v>247</v>
      </c>
      <c r="F160" s="37" t="s">
        <v>274</v>
      </c>
      <c r="G160" s="37" t="s">
        <v>257</v>
      </c>
      <c r="H160" s="38">
        <v>4.0</v>
      </c>
      <c r="I160" s="10"/>
      <c r="J160" s="10"/>
      <c r="K160" s="11" t="s">
        <v>243</v>
      </c>
      <c r="L160" s="4"/>
      <c r="M160" s="4"/>
    </row>
    <row r="161" ht="15.75" customHeight="1">
      <c r="A161" s="25">
        <v>160.0</v>
      </c>
      <c r="B161" s="11" t="s">
        <v>195</v>
      </c>
      <c r="C161" s="11" t="s">
        <v>184</v>
      </c>
      <c r="D161" s="10">
        <v>7.0</v>
      </c>
      <c r="E161" s="37" t="s">
        <v>247</v>
      </c>
      <c r="F161" s="37" t="s">
        <v>274</v>
      </c>
      <c r="G161" s="37" t="s">
        <v>257</v>
      </c>
      <c r="H161" s="38">
        <v>4.0</v>
      </c>
      <c r="I161" s="10"/>
      <c r="J161" s="10"/>
      <c r="K161" s="11" t="s">
        <v>243</v>
      </c>
      <c r="L161" s="4"/>
      <c r="M161" s="4"/>
    </row>
    <row r="162" ht="15.75" customHeight="1">
      <c r="A162" s="25">
        <v>161.0</v>
      </c>
      <c r="B162" s="11" t="s">
        <v>196</v>
      </c>
      <c r="C162" s="11" t="s">
        <v>184</v>
      </c>
      <c r="D162" s="10">
        <v>7.0</v>
      </c>
      <c r="E162" s="37" t="s">
        <v>247</v>
      </c>
      <c r="F162" s="37" t="s">
        <v>274</v>
      </c>
      <c r="G162" s="37" t="s">
        <v>257</v>
      </c>
      <c r="H162" s="38">
        <v>4.0</v>
      </c>
      <c r="I162" s="10"/>
      <c r="J162" s="10"/>
      <c r="K162" s="11" t="s">
        <v>243</v>
      </c>
      <c r="L162" s="4"/>
      <c r="M162" s="4"/>
    </row>
    <row r="163" ht="15.75" customHeight="1">
      <c r="A163" s="25">
        <v>162.0</v>
      </c>
      <c r="B163" s="11" t="s">
        <v>197</v>
      </c>
      <c r="C163" s="11" t="s">
        <v>184</v>
      </c>
      <c r="D163" s="10">
        <v>7.0</v>
      </c>
      <c r="E163" s="37" t="s">
        <v>247</v>
      </c>
      <c r="F163" s="37" t="s">
        <v>274</v>
      </c>
      <c r="G163" s="37" t="s">
        <v>257</v>
      </c>
      <c r="H163" s="38">
        <v>4.0</v>
      </c>
      <c r="I163" s="10"/>
      <c r="J163" s="10"/>
      <c r="K163" s="11" t="s">
        <v>243</v>
      </c>
      <c r="L163" s="4"/>
      <c r="M163" s="4"/>
    </row>
    <row r="164" ht="15.75" customHeight="1">
      <c r="A164" s="25">
        <v>163.0</v>
      </c>
      <c r="B164" s="5" t="s">
        <v>198</v>
      </c>
      <c r="C164" s="11" t="s">
        <v>184</v>
      </c>
      <c r="D164" s="10">
        <v>7.0</v>
      </c>
      <c r="E164" s="37" t="s">
        <v>247</v>
      </c>
      <c r="F164" s="37" t="s">
        <v>274</v>
      </c>
      <c r="G164" s="37" t="s">
        <v>257</v>
      </c>
      <c r="H164" s="38">
        <v>4.0</v>
      </c>
      <c r="I164" s="10"/>
      <c r="J164" s="10"/>
      <c r="K164" s="11" t="s">
        <v>243</v>
      </c>
      <c r="L164" s="4"/>
      <c r="M164" s="4"/>
    </row>
    <row r="165" ht="15.75" customHeight="1">
      <c r="A165" s="25">
        <v>164.0</v>
      </c>
      <c r="B165" s="5" t="s">
        <v>199</v>
      </c>
      <c r="C165" s="11" t="s">
        <v>184</v>
      </c>
      <c r="D165" s="10">
        <v>7.0</v>
      </c>
      <c r="E165" s="37" t="s">
        <v>247</v>
      </c>
      <c r="F165" s="37" t="s">
        <v>274</v>
      </c>
      <c r="G165" s="37" t="s">
        <v>257</v>
      </c>
      <c r="H165" s="38">
        <v>4.0</v>
      </c>
      <c r="I165" s="11" t="s">
        <v>242</v>
      </c>
      <c r="J165" s="10"/>
      <c r="K165" s="11" t="s">
        <v>243</v>
      </c>
      <c r="L165" s="4"/>
      <c r="M165" s="4"/>
    </row>
    <row r="166" ht="15.75" customHeight="1">
      <c r="A166" s="25">
        <v>165.0</v>
      </c>
      <c r="B166" s="11" t="s">
        <v>200</v>
      </c>
      <c r="C166" s="11" t="s">
        <v>184</v>
      </c>
      <c r="D166" s="10">
        <v>7.0</v>
      </c>
      <c r="E166" s="37" t="s">
        <v>247</v>
      </c>
      <c r="F166" s="37" t="s">
        <v>274</v>
      </c>
      <c r="G166" s="37" t="s">
        <v>257</v>
      </c>
      <c r="H166" s="38">
        <v>4.0</v>
      </c>
      <c r="I166" s="11" t="s">
        <v>242</v>
      </c>
      <c r="J166" s="10"/>
      <c r="K166" s="11" t="s">
        <v>243</v>
      </c>
      <c r="L166" s="4"/>
      <c r="M166" s="4"/>
    </row>
    <row r="167" ht="15.75" customHeight="1">
      <c r="I167" s="41"/>
      <c r="J167" s="41"/>
      <c r="K167" s="42"/>
    </row>
    <row r="168" ht="15.75" customHeight="1">
      <c r="I168" s="41"/>
      <c r="J168" s="41"/>
      <c r="K168" s="42"/>
    </row>
    <row r="169" ht="15.75" customHeight="1">
      <c r="I169" s="41"/>
      <c r="J169" s="41"/>
      <c r="K169" s="42"/>
    </row>
    <row r="170" ht="15.75" customHeight="1">
      <c r="I170" s="41"/>
      <c r="J170" s="41"/>
      <c r="K170" s="42"/>
    </row>
    <row r="171" ht="15.75" customHeight="1">
      <c r="I171" s="41"/>
      <c r="J171" s="41"/>
      <c r="K171" s="42"/>
    </row>
    <row r="172" ht="15.75" customHeight="1">
      <c r="I172" s="41"/>
      <c r="J172" s="41"/>
      <c r="K172" s="42"/>
    </row>
    <row r="173" ht="15.75" customHeight="1">
      <c r="I173" s="41"/>
      <c r="J173" s="41"/>
      <c r="K173" s="42"/>
    </row>
    <row r="174" ht="15.75" customHeight="1">
      <c r="I174" s="41"/>
      <c r="J174" s="41"/>
      <c r="K174" s="42"/>
    </row>
    <row r="175" ht="15.75" customHeight="1">
      <c r="I175" s="41"/>
      <c r="J175" s="41"/>
      <c r="K175" s="42"/>
    </row>
    <row r="176" ht="15.75" customHeight="1">
      <c r="I176" s="41"/>
      <c r="J176" s="41"/>
      <c r="K176" s="41"/>
    </row>
    <row r="177" ht="15.75" customHeight="1">
      <c r="I177" s="41"/>
      <c r="J177" s="41"/>
      <c r="K177" s="41"/>
    </row>
    <row r="178" ht="15.75" customHeight="1">
      <c r="I178" s="41"/>
      <c r="J178" s="41"/>
      <c r="K178" s="41"/>
    </row>
    <row r="179" ht="15.75" customHeight="1">
      <c r="I179" s="41"/>
      <c r="J179" s="41"/>
      <c r="K179" s="41"/>
    </row>
    <row r="180" ht="15.75" customHeight="1">
      <c r="I180" s="41"/>
      <c r="J180" s="41"/>
      <c r="K180" s="41"/>
    </row>
    <row r="181" ht="15.75" customHeight="1">
      <c r="I181" s="41"/>
      <c r="J181" s="41"/>
      <c r="K181" s="41"/>
    </row>
    <row r="182" ht="15.75" customHeight="1">
      <c r="I182" s="41"/>
      <c r="J182" s="41"/>
      <c r="K182" s="41"/>
    </row>
    <row r="183" ht="15.75" customHeight="1">
      <c r="I183" s="41"/>
      <c r="J183" s="41"/>
      <c r="K183" s="41"/>
    </row>
    <row r="184" ht="15.75" customHeight="1">
      <c r="I184" s="41"/>
      <c r="J184" s="41"/>
      <c r="K184" s="41"/>
    </row>
    <row r="185" ht="15.75" customHeight="1">
      <c r="I185" s="41"/>
      <c r="J185" s="41"/>
      <c r="K185" s="41"/>
    </row>
    <row r="186" ht="15.75" customHeight="1">
      <c r="I186" s="41"/>
      <c r="J186" s="41"/>
      <c r="K186" s="41"/>
    </row>
    <row r="187" ht="15.75" customHeight="1">
      <c r="I187" s="41"/>
      <c r="J187" s="41"/>
      <c r="K187" s="41"/>
    </row>
    <row r="188" ht="15.75" customHeight="1">
      <c r="I188" s="41"/>
      <c r="J188" s="41"/>
      <c r="K188" s="41"/>
    </row>
    <row r="189" ht="15.75" customHeight="1">
      <c r="I189" s="41"/>
      <c r="J189" s="41"/>
      <c r="K189" s="41"/>
    </row>
    <row r="190" ht="15.75" customHeight="1">
      <c r="I190" s="41"/>
      <c r="J190" s="41"/>
      <c r="K190" s="41"/>
    </row>
    <row r="191" ht="15.75" customHeight="1">
      <c r="I191" s="41"/>
      <c r="J191" s="41"/>
      <c r="K191" s="41"/>
    </row>
    <row r="192" ht="15.75" customHeight="1">
      <c r="I192" s="41"/>
      <c r="J192" s="41"/>
      <c r="K192" s="41"/>
    </row>
    <row r="193" ht="15.75" customHeight="1">
      <c r="I193" s="41"/>
      <c r="J193" s="41"/>
      <c r="K193" s="41"/>
    </row>
    <row r="194" ht="15.75" customHeight="1">
      <c r="I194" s="41"/>
      <c r="J194" s="41"/>
      <c r="K194" s="41"/>
    </row>
    <row r="195" ht="15.75" customHeight="1">
      <c r="I195" s="41"/>
      <c r="J195" s="41"/>
      <c r="K195" s="41"/>
    </row>
    <row r="196" ht="15.75" customHeight="1">
      <c r="I196" s="41"/>
      <c r="J196" s="41"/>
      <c r="K196" s="41"/>
    </row>
    <row r="197" ht="15.75" customHeight="1">
      <c r="I197" s="41"/>
      <c r="J197" s="41"/>
      <c r="K197" s="41"/>
    </row>
    <row r="198" ht="15.75" customHeight="1">
      <c r="I198" s="41"/>
      <c r="J198" s="41"/>
      <c r="K198" s="41"/>
    </row>
    <row r="199" ht="15.75" customHeight="1">
      <c r="I199" s="41"/>
      <c r="J199" s="41"/>
      <c r="K199" s="41"/>
    </row>
    <row r="200" ht="15.75" customHeight="1">
      <c r="I200" s="41"/>
      <c r="J200" s="41"/>
      <c r="K200" s="41"/>
    </row>
    <row r="201" ht="15.75" customHeight="1">
      <c r="I201" s="41"/>
      <c r="J201" s="41"/>
      <c r="K201" s="41"/>
    </row>
    <row r="202" ht="15.75" customHeight="1">
      <c r="I202" s="41"/>
      <c r="J202" s="41"/>
      <c r="K202" s="41"/>
    </row>
    <row r="203" ht="15.75" customHeight="1">
      <c r="I203" s="41"/>
      <c r="J203" s="41"/>
      <c r="K203" s="41"/>
    </row>
    <row r="204" ht="15.75" customHeight="1">
      <c r="I204" s="41"/>
      <c r="J204" s="41"/>
      <c r="K204" s="41"/>
    </row>
    <row r="205" ht="15.75" customHeight="1">
      <c r="I205" s="41"/>
      <c r="J205" s="41"/>
      <c r="K205" s="41"/>
    </row>
    <row r="206" ht="15.75" customHeight="1">
      <c r="I206" s="41"/>
      <c r="J206" s="41"/>
      <c r="K206" s="41"/>
    </row>
    <row r="207" ht="15.75" customHeight="1">
      <c r="I207" s="41"/>
      <c r="J207" s="41"/>
      <c r="K207" s="41"/>
    </row>
    <row r="208" ht="15.75" customHeight="1">
      <c r="I208" s="41"/>
      <c r="J208" s="41"/>
      <c r="K208" s="41"/>
    </row>
    <row r="209" ht="15.75" customHeight="1">
      <c r="I209" s="41"/>
      <c r="J209" s="41"/>
      <c r="K209" s="41"/>
    </row>
    <row r="210" ht="15.75" customHeight="1">
      <c r="I210" s="41"/>
      <c r="J210" s="41"/>
      <c r="K210" s="41"/>
    </row>
    <row r="211" ht="15.75" customHeight="1">
      <c r="I211" s="41"/>
      <c r="J211" s="41"/>
      <c r="K211" s="41"/>
    </row>
    <row r="212" ht="15.75" customHeight="1">
      <c r="I212" s="41"/>
      <c r="J212" s="41"/>
      <c r="K212" s="41"/>
    </row>
    <row r="213" ht="15.75" customHeight="1">
      <c r="I213" s="41"/>
      <c r="J213" s="41"/>
      <c r="K213" s="41"/>
    </row>
    <row r="214" ht="15.75" customHeight="1">
      <c r="I214" s="41"/>
      <c r="J214" s="41"/>
      <c r="K214" s="41"/>
    </row>
    <row r="215" ht="15.75" customHeight="1">
      <c r="I215" s="41"/>
      <c r="J215" s="41"/>
      <c r="K215" s="41"/>
    </row>
    <row r="216" ht="15.75" customHeight="1">
      <c r="I216" s="41"/>
      <c r="J216" s="41"/>
      <c r="K216" s="41"/>
    </row>
    <row r="217" ht="15.75" customHeight="1">
      <c r="I217" s="41"/>
      <c r="J217" s="41"/>
      <c r="K217" s="41"/>
    </row>
    <row r="218" ht="15.75" customHeight="1">
      <c r="I218" s="41"/>
      <c r="J218" s="41"/>
      <c r="K218" s="41"/>
    </row>
    <row r="219" ht="15.75" customHeight="1">
      <c r="I219" s="41"/>
      <c r="J219" s="41"/>
      <c r="K219" s="41"/>
    </row>
    <row r="220" ht="15.75" customHeight="1">
      <c r="I220" s="41"/>
      <c r="J220" s="41"/>
      <c r="K220" s="41"/>
    </row>
    <row r="221" ht="15.75" customHeight="1">
      <c r="I221" s="41"/>
      <c r="J221" s="41"/>
      <c r="K221" s="41"/>
    </row>
    <row r="222" ht="15.75" customHeight="1">
      <c r="I222" s="41"/>
      <c r="J222" s="41"/>
      <c r="K222" s="41"/>
    </row>
    <row r="223" ht="15.75" customHeight="1">
      <c r="I223" s="41"/>
      <c r="J223" s="41"/>
      <c r="K223" s="41"/>
    </row>
    <row r="224" ht="15.75" customHeight="1">
      <c r="I224" s="41"/>
      <c r="J224" s="41"/>
      <c r="K224" s="41"/>
    </row>
    <row r="225" ht="15.75" customHeight="1">
      <c r="I225" s="41"/>
      <c r="J225" s="41"/>
      <c r="K225" s="41"/>
    </row>
    <row r="226" ht="15.75" customHeight="1">
      <c r="I226" s="41"/>
      <c r="J226" s="41"/>
      <c r="K226" s="41"/>
    </row>
    <row r="227" ht="15.75" customHeight="1">
      <c r="I227" s="41"/>
      <c r="J227" s="41"/>
      <c r="K227" s="41"/>
    </row>
    <row r="228" ht="15.75" customHeight="1">
      <c r="I228" s="41"/>
      <c r="J228" s="41"/>
      <c r="K228" s="41"/>
    </row>
    <row r="229" ht="15.75" customHeight="1">
      <c r="I229" s="41"/>
      <c r="J229" s="41"/>
      <c r="K229" s="41"/>
    </row>
    <row r="230" ht="15.75" customHeight="1">
      <c r="I230" s="41"/>
      <c r="J230" s="41"/>
      <c r="K230" s="41"/>
    </row>
    <row r="231" ht="15.75" customHeight="1">
      <c r="I231" s="41"/>
      <c r="J231" s="41"/>
      <c r="K231" s="41"/>
    </row>
    <row r="232" ht="15.75" customHeight="1">
      <c r="I232" s="41"/>
      <c r="J232" s="41"/>
      <c r="K232" s="41"/>
    </row>
    <row r="233" ht="15.75" customHeight="1">
      <c r="I233" s="41"/>
      <c r="J233" s="41"/>
      <c r="K233" s="41"/>
    </row>
    <row r="234" ht="15.75" customHeight="1">
      <c r="I234" s="41"/>
      <c r="J234" s="41"/>
      <c r="K234" s="41"/>
    </row>
    <row r="235" ht="15.75" customHeight="1">
      <c r="I235" s="41"/>
      <c r="J235" s="41"/>
      <c r="K235" s="41"/>
    </row>
    <row r="236" ht="15.75" customHeight="1">
      <c r="I236" s="41"/>
      <c r="J236" s="41"/>
      <c r="K236" s="41"/>
    </row>
    <row r="237" ht="15.75" customHeight="1">
      <c r="I237" s="41"/>
      <c r="J237" s="41"/>
      <c r="K237" s="41"/>
    </row>
    <row r="238" ht="15.75" customHeight="1">
      <c r="I238" s="41"/>
      <c r="J238" s="41"/>
      <c r="K238" s="41"/>
    </row>
    <row r="239" ht="15.75" customHeight="1">
      <c r="I239" s="41"/>
      <c r="J239" s="41"/>
      <c r="K239" s="41"/>
    </row>
    <row r="240" ht="15.75" customHeight="1">
      <c r="I240" s="41"/>
      <c r="J240" s="41"/>
      <c r="K240" s="41"/>
    </row>
    <row r="241" ht="15.75" customHeight="1">
      <c r="I241" s="41"/>
      <c r="J241" s="41"/>
      <c r="K241" s="41"/>
    </row>
    <row r="242" ht="15.75" customHeight="1">
      <c r="I242" s="41"/>
      <c r="J242" s="41"/>
      <c r="K242" s="41"/>
    </row>
    <row r="243" ht="15.75" customHeight="1">
      <c r="I243" s="41"/>
      <c r="J243" s="41"/>
      <c r="K243" s="41"/>
    </row>
    <row r="244" ht="15.75" customHeight="1">
      <c r="I244" s="41"/>
      <c r="J244" s="41"/>
      <c r="K244" s="41"/>
    </row>
    <row r="245" ht="15.75" customHeight="1">
      <c r="I245" s="41"/>
      <c r="J245" s="41"/>
      <c r="K245" s="41"/>
    </row>
    <row r="246" ht="15.75" customHeight="1">
      <c r="I246" s="41"/>
      <c r="J246" s="41"/>
      <c r="K246" s="41"/>
    </row>
    <row r="247" ht="15.75" customHeight="1">
      <c r="I247" s="41"/>
      <c r="J247" s="41"/>
      <c r="K247" s="41"/>
    </row>
    <row r="248" ht="15.75" customHeight="1">
      <c r="I248" s="41"/>
      <c r="J248" s="41"/>
      <c r="K248" s="41"/>
    </row>
    <row r="249" ht="15.75" customHeight="1">
      <c r="I249" s="41"/>
      <c r="J249" s="41"/>
      <c r="K249" s="41"/>
    </row>
    <row r="250" ht="15.75" customHeight="1">
      <c r="I250" s="41"/>
      <c r="J250" s="41"/>
      <c r="K250" s="41"/>
    </row>
    <row r="251" ht="15.75" customHeight="1">
      <c r="I251" s="41"/>
      <c r="J251" s="41"/>
      <c r="K251" s="41"/>
    </row>
    <row r="252" ht="15.75" customHeight="1">
      <c r="I252" s="41"/>
      <c r="J252" s="41"/>
      <c r="K252" s="41"/>
    </row>
    <row r="253" ht="15.75" customHeight="1">
      <c r="I253" s="41"/>
      <c r="J253" s="41"/>
      <c r="K253" s="41"/>
    </row>
    <row r="254" ht="15.75" customHeight="1">
      <c r="I254" s="41"/>
      <c r="J254" s="41"/>
      <c r="K254" s="41"/>
    </row>
    <row r="255" ht="15.75" customHeight="1">
      <c r="I255" s="41"/>
      <c r="J255" s="41"/>
      <c r="K255" s="41"/>
    </row>
    <row r="256" ht="15.75" customHeight="1">
      <c r="I256" s="41"/>
      <c r="J256" s="41"/>
      <c r="K256" s="41"/>
    </row>
    <row r="257" ht="15.75" customHeight="1">
      <c r="I257" s="41"/>
      <c r="J257" s="41"/>
      <c r="K257" s="41"/>
    </row>
    <row r="258" ht="15.75" customHeight="1">
      <c r="I258" s="41"/>
      <c r="J258" s="41"/>
      <c r="K258" s="41"/>
    </row>
    <row r="259" ht="15.75" customHeight="1">
      <c r="I259" s="41"/>
      <c r="J259" s="41"/>
      <c r="K259" s="41"/>
    </row>
    <row r="260" ht="15.75" customHeight="1">
      <c r="I260" s="41"/>
      <c r="J260" s="41"/>
      <c r="K260" s="41"/>
    </row>
    <row r="261" ht="15.75" customHeight="1">
      <c r="I261" s="41"/>
      <c r="J261" s="41"/>
      <c r="K261" s="41"/>
    </row>
    <row r="262" ht="15.75" customHeight="1">
      <c r="I262" s="41"/>
      <c r="J262" s="41"/>
      <c r="K262" s="41"/>
    </row>
    <row r="263" ht="15.75" customHeight="1">
      <c r="I263" s="41"/>
      <c r="J263" s="41"/>
      <c r="K263" s="41"/>
    </row>
    <row r="264" ht="15.75" customHeight="1">
      <c r="I264" s="41"/>
      <c r="J264" s="41"/>
      <c r="K264" s="41"/>
    </row>
    <row r="265" ht="15.75" customHeight="1">
      <c r="I265" s="41"/>
      <c r="J265" s="41"/>
      <c r="K265" s="41"/>
    </row>
    <row r="266" ht="15.75" customHeight="1">
      <c r="I266" s="41"/>
      <c r="J266" s="41"/>
      <c r="K266" s="41"/>
    </row>
    <row r="267" ht="15.75" customHeight="1">
      <c r="I267" s="41"/>
      <c r="J267" s="41"/>
      <c r="K267" s="41"/>
    </row>
    <row r="268" ht="15.75" customHeight="1">
      <c r="I268" s="41"/>
      <c r="J268" s="41"/>
      <c r="K268" s="41"/>
    </row>
    <row r="269" ht="15.75" customHeight="1">
      <c r="I269" s="41"/>
      <c r="J269" s="41"/>
      <c r="K269" s="41"/>
    </row>
    <row r="270" ht="15.75" customHeight="1">
      <c r="I270" s="41"/>
      <c r="J270" s="41"/>
      <c r="K270" s="41"/>
    </row>
    <row r="271" ht="15.75" customHeight="1">
      <c r="I271" s="41"/>
      <c r="J271" s="41"/>
      <c r="K271" s="41"/>
    </row>
    <row r="272" ht="15.75" customHeight="1">
      <c r="I272" s="41"/>
      <c r="J272" s="41"/>
      <c r="K272" s="41"/>
    </row>
    <row r="273" ht="15.75" customHeight="1">
      <c r="I273" s="41"/>
      <c r="J273" s="41"/>
      <c r="K273" s="41"/>
    </row>
    <row r="274" ht="15.75" customHeight="1">
      <c r="I274" s="41"/>
      <c r="J274" s="41"/>
      <c r="K274" s="41"/>
    </row>
    <row r="275" ht="15.75" customHeight="1">
      <c r="I275" s="41"/>
      <c r="J275" s="41"/>
      <c r="K275" s="41"/>
    </row>
    <row r="276" ht="15.75" customHeight="1">
      <c r="I276" s="41"/>
      <c r="J276" s="41"/>
      <c r="K276" s="41"/>
    </row>
    <row r="277" ht="15.75" customHeight="1">
      <c r="I277" s="41"/>
      <c r="J277" s="41"/>
      <c r="K277" s="41"/>
    </row>
    <row r="278" ht="15.75" customHeight="1">
      <c r="I278" s="41"/>
      <c r="J278" s="41"/>
      <c r="K278" s="41"/>
    </row>
    <row r="279" ht="15.75" customHeight="1">
      <c r="I279" s="41"/>
      <c r="J279" s="41"/>
      <c r="K279" s="41"/>
    </row>
    <row r="280" ht="15.75" customHeight="1">
      <c r="I280" s="41"/>
      <c r="J280" s="41"/>
      <c r="K280" s="41"/>
    </row>
    <row r="281" ht="15.75" customHeight="1">
      <c r="I281" s="41"/>
      <c r="J281" s="41"/>
      <c r="K281" s="41"/>
    </row>
    <row r="282" ht="15.75" customHeight="1">
      <c r="I282" s="41"/>
      <c r="J282" s="41"/>
      <c r="K282" s="41"/>
    </row>
    <row r="283" ht="15.75" customHeight="1">
      <c r="I283" s="41"/>
      <c r="J283" s="41"/>
      <c r="K283" s="41"/>
    </row>
    <row r="284" ht="15.75" customHeight="1">
      <c r="I284" s="41"/>
      <c r="J284" s="41"/>
      <c r="K284" s="41"/>
    </row>
    <row r="285" ht="15.75" customHeight="1">
      <c r="I285" s="41"/>
      <c r="J285" s="41"/>
      <c r="K285" s="41"/>
    </row>
    <row r="286" ht="15.75" customHeight="1">
      <c r="I286" s="41"/>
      <c r="J286" s="41"/>
      <c r="K286" s="41"/>
    </row>
    <row r="287" ht="15.75" customHeight="1">
      <c r="I287" s="41"/>
      <c r="J287" s="41"/>
      <c r="K287" s="41"/>
    </row>
    <row r="288" ht="15.75" customHeight="1">
      <c r="I288" s="41"/>
      <c r="J288" s="41"/>
      <c r="K288" s="41"/>
    </row>
    <row r="289" ht="15.75" customHeight="1">
      <c r="I289" s="41"/>
      <c r="J289" s="41"/>
      <c r="K289" s="41"/>
    </row>
    <row r="290" ht="15.75" customHeight="1">
      <c r="I290" s="41"/>
      <c r="J290" s="41"/>
      <c r="K290" s="41"/>
    </row>
    <row r="291" ht="15.75" customHeight="1">
      <c r="I291" s="41"/>
      <c r="J291" s="41"/>
      <c r="K291" s="41"/>
    </row>
    <row r="292" ht="15.75" customHeight="1">
      <c r="I292" s="41"/>
      <c r="J292" s="41"/>
      <c r="K292" s="41"/>
    </row>
    <row r="293" ht="15.75" customHeight="1">
      <c r="I293" s="41"/>
      <c r="J293" s="41"/>
      <c r="K293" s="41"/>
    </row>
    <row r="294" ht="15.75" customHeight="1">
      <c r="I294" s="41"/>
      <c r="J294" s="41"/>
      <c r="K294" s="41"/>
    </row>
    <row r="295" ht="15.75" customHeight="1">
      <c r="I295" s="41"/>
      <c r="J295" s="41"/>
      <c r="K295" s="41"/>
    </row>
    <row r="296" ht="15.75" customHeight="1">
      <c r="I296" s="41"/>
      <c r="J296" s="41"/>
      <c r="K296" s="41"/>
    </row>
    <row r="297" ht="15.75" customHeight="1">
      <c r="I297" s="41"/>
      <c r="J297" s="41"/>
      <c r="K297" s="41"/>
    </row>
    <row r="298" ht="15.75" customHeight="1">
      <c r="I298" s="41"/>
      <c r="J298" s="41"/>
      <c r="K298" s="41"/>
    </row>
    <row r="299" ht="15.75" customHeight="1">
      <c r="I299" s="41"/>
      <c r="J299" s="41"/>
      <c r="K299" s="41"/>
    </row>
    <row r="300" ht="15.75" customHeight="1">
      <c r="I300" s="41"/>
      <c r="J300" s="41"/>
      <c r="K300" s="41"/>
    </row>
    <row r="301" ht="15.75" customHeight="1">
      <c r="I301" s="41"/>
      <c r="J301" s="41"/>
      <c r="K301" s="41"/>
    </row>
    <row r="302" ht="15.75" customHeight="1">
      <c r="I302" s="41"/>
      <c r="J302" s="41"/>
      <c r="K302" s="41"/>
    </row>
    <row r="303" ht="15.75" customHeight="1">
      <c r="I303" s="41"/>
      <c r="J303" s="41"/>
      <c r="K303" s="41"/>
    </row>
    <row r="304" ht="15.75" customHeight="1">
      <c r="I304" s="41"/>
      <c r="J304" s="41"/>
      <c r="K304" s="41"/>
    </row>
    <row r="305" ht="15.75" customHeight="1">
      <c r="I305" s="41"/>
      <c r="J305" s="41"/>
      <c r="K305" s="41"/>
    </row>
    <row r="306" ht="15.75" customHeight="1">
      <c r="I306" s="41"/>
      <c r="J306" s="41"/>
      <c r="K306" s="41"/>
    </row>
    <row r="307" ht="15.75" customHeight="1">
      <c r="I307" s="41"/>
      <c r="J307" s="41"/>
      <c r="K307" s="41"/>
    </row>
    <row r="308" ht="15.75" customHeight="1">
      <c r="I308" s="41"/>
      <c r="J308" s="41"/>
      <c r="K308" s="41"/>
    </row>
    <row r="309" ht="15.75" customHeight="1">
      <c r="I309" s="41"/>
      <c r="J309" s="41"/>
      <c r="K309" s="41"/>
    </row>
    <row r="310" ht="15.75" customHeight="1">
      <c r="I310" s="41"/>
      <c r="J310" s="41"/>
      <c r="K310" s="41"/>
    </row>
    <row r="311" ht="15.75" customHeight="1">
      <c r="I311" s="41"/>
      <c r="J311" s="41"/>
      <c r="K311" s="41"/>
    </row>
    <row r="312" ht="15.75" customHeight="1">
      <c r="I312" s="41"/>
      <c r="J312" s="41"/>
      <c r="K312" s="41"/>
    </row>
    <row r="313" ht="15.75" customHeight="1">
      <c r="I313" s="41"/>
      <c r="J313" s="41"/>
      <c r="K313" s="41"/>
    </row>
    <row r="314" ht="15.75" customHeight="1">
      <c r="I314" s="41"/>
      <c r="J314" s="41"/>
      <c r="K314" s="41"/>
    </row>
    <row r="315" ht="15.75" customHeight="1">
      <c r="I315" s="41"/>
      <c r="J315" s="41"/>
      <c r="K315" s="41"/>
    </row>
    <row r="316" ht="15.75" customHeight="1">
      <c r="I316" s="41"/>
      <c r="J316" s="41"/>
      <c r="K316" s="41"/>
    </row>
    <row r="317" ht="15.75" customHeight="1">
      <c r="I317" s="41"/>
      <c r="J317" s="41"/>
      <c r="K317" s="41"/>
    </row>
    <row r="318" ht="15.75" customHeight="1">
      <c r="I318" s="41"/>
      <c r="J318" s="41"/>
      <c r="K318" s="41"/>
    </row>
    <row r="319" ht="15.75" customHeight="1">
      <c r="I319" s="41"/>
      <c r="J319" s="41"/>
      <c r="K319" s="41"/>
    </row>
    <row r="320" ht="15.75" customHeight="1">
      <c r="I320" s="41"/>
      <c r="J320" s="41"/>
      <c r="K320" s="41"/>
    </row>
    <row r="321" ht="15.75" customHeight="1">
      <c r="I321" s="41"/>
      <c r="J321" s="41"/>
      <c r="K321" s="41"/>
    </row>
    <row r="322" ht="15.75" customHeight="1">
      <c r="I322" s="41"/>
      <c r="J322" s="41"/>
      <c r="K322" s="41"/>
    </row>
    <row r="323" ht="15.75" customHeight="1">
      <c r="I323" s="41"/>
      <c r="J323" s="41"/>
      <c r="K323" s="41"/>
    </row>
    <row r="324" ht="15.75" customHeight="1">
      <c r="I324" s="41"/>
      <c r="J324" s="41"/>
      <c r="K324" s="41"/>
    </row>
    <row r="325" ht="15.75" customHeight="1">
      <c r="I325" s="41"/>
      <c r="J325" s="41"/>
      <c r="K325" s="41"/>
    </row>
    <row r="326" ht="15.75" customHeight="1">
      <c r="I326" s="41"/>
      <c r="J326" s="41"/>
      <c r="K326" s="41"/>
    </row>
    <row r="327" ht="15.75" customHeight="1">
      <c r="I327" s="41"/>
      <c r="J327" s="41"/>
      <c r="K327" s="41"/>
    </row>
    <row r="328" ht="15.75" customHeight="1">
      <c r="I328" s="41"/>
      <c r="J328" s="41"/>
      <c r="K328" s="41"/>
    </row>
    <row r="329" ht="15.75" customHeight="1">
      <c r="I329" s="41"/>
      <c r="J329" s="41"/>
      <c r="K329" s="41"/>
    </row>
    <row r="330" ht="15.75" customHeight="1">
      <c r="I330" s="41"/>
      <c r="J330" s="41"/>
      <c r="K330" s="41"/>
    </row>
    <row r="331" ht="15.75" customHeight="1">
      <c r="I331" s="41"/>
      <c r="J331" s="41"/>
      <c r="K331" s="41"/>
    </row>
    <row r="332" ht="15.75" customHeight="1">
      <c r="I332" s="41"/>
      <c r="J332" s="41"/>
      <c r="K332" s="41"/>
    </row>
    <row r="333" ht="15.75" customHeight="1">
      <c r="I333" s="41"/>
      <c r="J333" s="41"/>
      <c r="K333" s="41"/>
    </row>
    <row r="334" ht="15.75" customHeight="1">
      <c r="I334" s="41"/>
      <c r="J334" s="41"/>
      <c r="K334" s="41"/>
    </row>
    <row r="335" ht="15.75" customHeight="1">
      <c r="I335" s="41"/>
      <c r="J335" s="41"/>
      <c r="K335" s="41"/>
    </row>
    <row r="336" ht="15.75" customHeight="1">
      <c r="I336" s="41"/>
      <c r="J336" s="41"/>
      <c r="K336" s="41"/>
    </row>
    <row r="337" ht="15.75" customHeight="1">
      <c r="I337" s="41"/>
      <c r="J337" s="41"/>
      <c r="K337" s="41"/>
    </row>
    <row r="338" ht="15.75" customHeight="1">
      <c r="I338" s="41"/>
      <c r="J338" s="41"/>
      <c r="K338" s="41"/>
    </row>
    <row r="339" ht="15.75" customHeight="1">
      <c r="I339" s="41"/>
      <c r="J339" s="41"/>
      <c r="K339" s="41"/>
    </row>
    <row r="340" ht="15.75" customHeight="1">
      <c r="I340" s="41"/>
      <c r="J340" s="41"/>
      <c r="K340" s="41"/>
    </row>
    <row r="341" ht="15.75" customHeight="1">
      <c r="I341" s="41"/>
      <c r="J341" s="41"/>
      <c r="K341" s="41"/>
    </row>
    <row r="342" ht="15.75" customHeight="1">
      <c r="I342" s="41"/>
      <c r="J342" s="41"/>
      <c r="K342" s="41"/>
    </row>
    <row r="343" ht="15.75" customHeight="1">
      <c r="I343" s="41"/>
      <c r="J343" s="41"/>
      <c r="K343" s="41"/>
    </row>
    <row r="344" ht="15.75" customHeight="1">
      <c r="I344" s="41"/>
      <c r="J344" s="41"/>
      <c r="K344" s="41"/>
    </row>
    <row r="345" ht="15.75" customHeight="1">
      <c r="I345" s="41"/>
      <c r="J345" s="41"/>
      <c r="K345" s="41"/>
    </row>
    <row r="346" ht="15.75" customHeight="1">
      <c r="I346" s="41"/>
      <c r="J346" s="41"/>
      <c r="K346" s="41"/>
    </row>
    <row r="347" ht="15.75" customHeight="1">
      <c r="I347" s="41"/>
      <c r="J347" s="41"/>
      <c r="K347" s="41"/>
    </row>
    <row r="348" ht="15.75" customHeight="1">
      <c r="I348" s="41"/>
      <c r="J348" s="41"/>
      <c r="K348" s="41"/>
    </row>
    <row r="349" ht="15.75" customHeight="1">
      <c r="I349" s="41"/>
      <c r="J349" s="41"/>
      <c r="K349" s="41"/>
    </row>
    <row r="350" ht="15.75" customHeight="1">
      <c r="I350" s="41"/>
      <c r="J350" s="41"/>
      <c r="K350" s="41"/>
    </row>
    <row r="351" ht="15.75" customHeight="1">
      <c r="I351" s="41"/>
      <c r="J351" s="41"/>
      <c r="K351" s="41"/>
    </row>
    <row r="352" ht="15.75" customHeight="1">
      <c r="I352" s="41"/>
      <c r="J352" s="41"/>
      <c r="K352" s="41"/>
    </row>
    <row r="353" ht="15.75" customHeight="1">
      <c r="I353" s="41"/>
      <c r="J353" s="41"/>
      <c r="K353" s="41"/>
    </row>
    <row r="354" ht="15.75" customHeight="1">
      <c r="I354" s="41"/>
      <c r="J354" s="41"/>
      <c r="K354" s="41"/>
    </row>
    <row r="355" ht="15.75" customHeight="1">
      <c r="I355" s="41"/>
      <c r="J355" s="41"/>
      <c r="K355" s="41"/>
    </row>
    <row r="356" ht="15.75" customHeight="1">
      <c r="I356" s="41"/>
      <c r="J356" s="41"/>
      <c r="K356" s="41"/>
    </row>
    <row r="357" ht="15.75" customHeight="1">
      <c r="I357" s="41"/>
      <c r="J357" s="41"/>
      <c r="K357" s="41"/>
    </row>
    <row r="358" ht="15.75" customHeight="1">
      <c r="I358" s="41"/>
      <c r="J358" s="41"/>
      <c r="K358" s="41"/>
    </row>
    <row r="359" ht="15.75" customHeight="1">
      <c r="I359" s="41"/>
      <c r="J359" s="41"/>
      <c r="K359" s="41"/>
    </row>
    <row r="360" ht="15.75" customHeight="1">
      <c r="I360" s="41"/>
      <c r="J360" s="41"/>
      <c r="K360" s="41"/>
    </row>
    <row r="361" ht="15.75" customHeight="1">
      <c r="I361" s="41"/>
      <c r="J361" s="41"/>
      <c r="K361" s="41"/>
    </row>
    <row r="362" ht="15.75" customHeight="1">
      <c r="I362" s="41"/>
      <c r="J362" s="41"/>
      <c r="K362" s="41"/>
    </row>
    <row r="363" ht="15.75" customHeight="1">
      <c r="I363" s="41"/>
      <c r="J363" s="41"/>
      <c r="K363" s="41"/>
    </row>
    <row r="364" ht="15.75" customHeight="1">
      <c r="I364" s="41"/>
      <c r="J364" s="41"/>
      <c r="K364" s="41"/>
    </row>
    <row r="365" ht="15.75" customHeight="1">
      <c r="I365" s="41"/>
      <c r="J365" s="41"/>
      <c r="K365" s="41"/>
    </row>
    <row r="366" ht="15.75" customHeight="1">
      <c r="I366" s="41"/>
      <c r="J366" s="41"/>
      <c r="K366" s="41"/>
    </row>
    <row r="367" ht="15.75" customHeight="1">
      <c r="I367" s="41"/>
      <c r="J367" s="41"/>
      <c r="K367" s="41"/>
    </row>
    <row r="368" ht="15.75" customHeight="1">
      <c r="I368" s="41"/>
      <c r="J368" s="41"/>
      <c r="K368" s="41"/>
    </row>
    <row r="369" ht="15.75" customHeight="1">
      <c r="I369" s="41"/>
      <c r="J369" s="41"/>
      <c r="K369" s="41"/>
    </row>
    <row r="370" ht="15.75" customHeight="1">
      <c r="I370" s="41"/>
      <c r="J370" s="41"/>
      <c r="K370" s="41"/>
    </row>
    <row r="371" ht="15.75" customHeight="1">
      <c r="I371" s="41"/>
      <c r="J371" s="41"/>
      <c r="K371" s="41"/>
    </row>
    <row r="372" ht="15.75" customHeight="1">
      <c r="I372" s="41"/>
      <c r="J372" s="41"/>
      <c r="K372" s="41"/>
    </row>
    <row r="373" ht="15.75" customHeight="1">
      <c r="I373" s="41"/>
      <c r="J373" s="41"/>
      <c r="K373" s="41"/>
    </row>
    <row r="374" ht="15.75" customHeight="1">
      <c r="I374" s="41"/>
      <c r="J374" s="41"/>
      <c r="K374" s="41"/>
    </row>
    <row r="375" ht="15.75" customHeight="1">
      <c r="I375" s="41"/>
      <c r="J375" s="41"/>
      <c r="K375" s="41"/>
    </row>
    <row r="376" ht="15.75" customHeight="1">
      <c r="I376" s="41"/>
      <c r="J376" s="41"/>
      <c r="K376" s="41"/>
    </row>
    <row r="377" ht="15.75" customHeight="1">
      <c r="I377" s="41"/>
      <c r="J377" s="41"/>
      <c r="K377" s="41"/>
    </row>
    <row r="378" ht="15.75" customHeight="1">
      <c r="I378" s="41"/>
      <c r="J378" s="41"/>
      <c r="K378" s="41"/>
    </row>
    <row r="379" ht="15.75" customHeight="1">
      <c r="I379" s="41"/>
      <c r="J379" s="41"/>
      <c r="K379" s="41"/>
    </row>
    <row r="380" ht="15.75" customHeight="1">
      <c r="I380" s="41"/>
      <c r="J380" s="41"/>
      <c r="K380" s="41"/>
    </row>
    <row r="381" ht="15.75" customHeight="1">
      <c r="I381" s="41"/>
      <c r="J381" s="41"/>
      <c r="K381" s="41"/>
    </row>
    <row r="382" ht="15.75" customHeight="1">
      <c r="I382" s="41"/>
      <c r="J382" s="41"/>
      <c r="K382" s="41"/>
    </row>
    <row r="383" ht="15.75" customHeight="1">
      <c r="I383" s="41"/>
      <c r="J383" s="41"/>
      <c r="K383" s="41"/>
    </row>
    <row r="384" ht="15.75" customHeight="1">
      <c r="I384" s="41"/>
      <c r="J384" s="41"/>
      <c r="K384" s="41"/>
    </row>
    <row r="385" ht="15.75" customHeight="1">
      <c r="I385" s="41"/>
      <c r="J385" s="41"/>
      <c r="K385" s="41"/>
    </row>
    <row r="386" ht="15.75" customHeight="1">
      <c r="I386" s="41"/>
      <c r="J386" s="41"/>
      <c r="K386" s="41"/>
    </row>
    <row r="387" ht="15.75" customHeight="1">
      <c r="I387" s="41"/>
      <c r="J387" s="41"/>
      <c r="K387" s="41"/>
    </row>
    <row r="388" ht="15.75" customHeight="1">
      <c r="I388" s="41"/>
      <c r="J388" s="41"/>
      <c r="K388" s="41"/>
    </row>
    <row r="389" ht="15.75" customHeight="1">
      <c r="I389" s="41"/>
      <c r="J389" s="41"/>
      <c r="K389" s="41"/>
    </row>
    <row r="390" ht="15.75" customHeight="1">
      <c r="I390" s="41"/>
      <c r="J390" s="41"/>
      <c r="K390" s="41"/>
    </row>
    <row r="391" ht="15.75" customHeight="1">
      <c r="I391" s="41"/>
      <c r="J391" s="41"/>
      <c r="K391" s="41"/>
    </row>
    <row r="392" ht="15.75" customHeight="1">
      <c r="I392" s="41"/>
      <c r="J392" s="41"/>
      <c r="K392" s="41"/>
    </row>
    <row r="393" ht="15.75" customHeight="1">
      <c r="I393" s="41"/>
      <c r="J393" s="41"/>
      <c r="K393" s="41"/>
    </row>
    <row r="394" ht="15.75" customHeight="1">
      <c r="I394" s="41"/>
      <c r="J394" s="41"/>
      <c r="K394" s="41"/>
    </row>
    <row r="395" ht="15.75" customHeight="1">
      <c r="I395" s="41"/>
      <c r="J395" s="41"/>
      <c r="K395" s="41"/>
    </row>
    <row r="396" ht="15.75" customHeight="1">
      <c r="I396" s="41"/>
      <c r="J396" s="41"/>
      <c r="K396" s="41"/>
    </row>
    <row r="397" ht="15.75" customHeight="1">
      <c r="I397" s="41"/>
      <c r="J397" s="41"/>
      <c r="K397" s="41"/>
    </row>
    <row r="398" ht="15.75" customHeight="1">
      <c r="I398" s="41"/>
      <c r="J398" s="41"/>
      <c r="K398" s="41"/>
    </row>
    <row r="399" ht="15.75" customHeight="1">
      <c r="I399" s="41"/>
      <c r="J399" s="41"/>
      <c r="K399" s="41"/>
    </row>
    <row r="400" ht="15.75" customHeight="1">
      <c r="I400" s="41"/>
      <c r="J400" s="41"/>
      <c r="K400" s="41"/>
    </row>
    <row r="401" ht="15.75" customHeight="1">
      <c r="I401" s="41"/>
      <c r="J401" s="41"/>
      <c r="K401" s="41"/>
    </row>
    <row r="402" ht="15.75" customHeight="1">
      <c r="I402" s="41"/>
      <c r="J402" s="41"/>
      <c r="K402" s="41"/>
    </row>
    <row r="403" ht="15.75" customHeight="1">
      <c r="I403" s="41"/>
      <c r="J403" s="41"/>
      <c r="K403" s="41"/>
    </row>
    <row r="404" ht="15.75" customHeight="1">
      <c r="I404" s="41"/>
      <c r="J404" s="41"/>
      <c r="K404" s="41"/>
    </row>
    <row r="405" ht="15.75" customHeight="1">
      <c r="I405" s="41"/>
      <c r="J405" s="41"/>
      <c r="K405" s="41"/>
    </row>
    <row r="406" ht="15.75" customHeight="1">
      <c r="I406" s="41"/>
      <c r="J406" s="41"/>
      <c r="K406" s="41"/>
    </row>
    <row r="407" ht="15.75" customHeight="1">
      <c r="I407" s="41"/>
      <c r="J407" s="41"/>
      <c r="K407" s="41"/>
    </row>
    <row r="408" ht="15.75" customHeight="1">
      <c r="I408" s="41"/>
      <c r="J408" s="41"/>
      <c r="K408" s="41"/>
    </row>
    <row r="409" ht="15.75" customHeight="1">
      <c r="I409" s="41"/>
      <c r="J409" s="41"/>
      <c r="K409" s="41"/>
    </row>
    <row r="410" ht="15.75" customHeight="1">
      <c r="I410" s="41"/>
      <c r="J410" s="41"/>
      <c r="K410" s="41"/>
    </row>
    <row r="411" ht="15.75" customHeight="1">
      <c r="I411" s="41"/>
      <c r="J411" s="41"/>
      <c r="K411" s="41"/>
    </row>
    <row r="412" ht="15.75" customHeight="1">
      <c r="I412" s="41"/>
      <c r="J412" s="41"/>
      <c r="K412" s="41"/>
    </row>
    <row r="413" ht="15.75" customHeight="1">
      <c r="I413" s="41"/>
      <c r="J413" s="41"/>
      <c r="K413" s="41"/>
    </row>
    <row r="414" ht="15.75" customHeight="1">
      <c r="I414" s="41"/>
      <c r="J414" s="41"/>
      <c r="K414" s="41"/>
    </row>
    <row r="415" ht="15.75" customHeight="1">
      <c r="I415" s="41"/>
      <c r="J415" s="41"/>
      <c r="K415" s="41"/>
    </row>
    <row r="416" ht="15.75" customHeight="1">
      <c r="I416" s="41"/>
      <c r="J416" s="41"/>
      <c r="K416" s="41"/>
    </row>
    <row r="417" ht="15.75" customHeight="1">
      <c r="I417" s="41"/>
      <c r="J417" s="41"/>
      <c r="K417" s="41"/>
    </row>
    <row r="418" ht="15.75" customHeight="1">
      <c r="I418" s="41"/>
      <c r="J418" s="41"/>
      <c r="K418" s="41"/>
    </row>
    <row r="419" ht="15.75" customHeight="1">
      <c r="I419" s="41"/>
      <c r="J419" s="41"/>
      <c r="K419" s="41"/>
    </row>
    <row r="420" ht="15.75" customHeight="1">
      <c r="I420" s="41"/>
      <c r="J420" s="41"/>
      <c r="K420" s="41"/>
    </row>
    <row r="421" ht="15.75" customHeight="1">
      <c r="I421" s="41"/>
      <c r="J421" s="41"/>
      <c r="K421" s="41"/>
    </row>
    <row r="422" ht="15.75" customHeight="1">
      <c r="I422" s="41"/>
      <c r="J422" s="41"/>
      <c r="K422" s="41"/>
    </row>
    <row r="423" ht="15.75" customHeight="1">
      <c r="I423" s="41"/>
      <c r="J423" s="41"/>
      <c r="K423" s="41"/>
    </row>
    <row r="424" ht="15.75" customHeight="1">
      <c r="I424" s="41"/>
      <c r="J424" s="41"/>
      <c r="K424" s="41"/>
    </row>
    <row r="425" ht="15.75" customHeight="1">
      <c r="I425" s="41"/>
      <c r="J425" s="41"/>
      <c r="K425" s="41"/>
    </row>
    <row r="426" ht="15.75" customHeight="1">
      <c r="I426" s="41"/>
      <c r="J426" s="41"/>
      <c r="K426" s="41"/>
    </row>
    <row r="427" ht="15.75" customHeight="1">
      <c r="I427" s="41"/>
      <c r="J427" s="41"/>
      <c r="K427" s="41"/>
    </row>
    <row r="428" ht="15.75" customHeight="1">
      <c r="I428" s="41"/>
      <c r="J428" s="41"/>
      <c r="K428" s="41"/>
    </row>
    <row r="429" ht="15.75" customHeight="1">
      <c r="I429" s="41"/>
      <c r="J429" s="41"/>
      <c r="K429" s="41"/>
    </row>
    <row r="430" ht="15.75" customHeight="1">
      <c r="I430" s="41"/>
      <c r="J430" s="41"/>
      <c r="K430" s="41"/>
    </row>
    <row r="431" ht="15.75" customHeight="1">
      <c r="I431" s="41"/>
      <c r="J431" s="41"/>
      <c r="K431" s="41"/>
    </row>
    <row r="432" ht="15.75" customHeight="1">
      <c r="I432" s="41"/>
      <c r="J432" s="41"/>
      <c r="K432" s="41"/>
    </row>
    <row r="433" ht="15.75" customHeight="1">
      <c r="I433" s="41"/>
      <c r="J433" s="41"/>
      <c r="K433" s="41"/>
    </row>
    <row r="434" ht="15.75" customHeight="1">
      <c r="I434" s="41"/>
      <c r="J434" s="41"/>
      <c r="K434" s="41"/>
    </row>
    <row r="435" ht="15.75" customHeight="1">
      <c r="I435" s="41"/>
      <c r="J435" s="41"/>
      <c r="K435" s="41"/>
    </row>
    <row r="436" ht="15.75" customHeight="1">
      <c r="I436" s="41"/>
      <c r="J436" s="41"/>
      <c r="K436" s="41"/>
    </row>
    <row r="437" ht="15.75" customHeight="1">
      <c r="I437" s="41"/>
      <c r="J437" s="41"/>
      <c r="K437" s="41"/>
    </row>
    <row r="438" ht="15.75" customHeight="1">
      <c r="I438" s="41"/>
      <c r="J438" s="41"/>
      <c r="K438" s="41"/>
    </row>
    <row r="439" ht="15.75" customHeight="1">
      <c r="I439" s="41"/>
      <c r="J439" s="41"/>
      <c r="K439" s="41"/>
    </row>
    <row r="440" ht="15.75" customHeight="1">
      <c r="I440" s="41"/>
      <c r="J440" s="41"/>
      <c r="K440" s="41"/>
    </row>
    <row r="441" ht="15.75" customHeight="1">
      <c r="I441" s="41"/>
      <c r="J441" s="41"/>
      <c r="K441" s="41"/>
    </row>
    <row r="442" ht="15.75" customHeight="1">
      <c r="I442" s="41"/>
      <c r="J442" s="41"/>
      <c r="K442" s="41"/>
    </row>
    <row r="443" ht="15.75" customHeight="1">
      <c r="I443" s="41"/>
      <c r="J443" s="41"/>
      <c r="K443" s="41"/>
    </row>
    <row r="444" ht="15.75" customHeight="1">
      <c r="I444" s="41"/>
      <c r="J444" s="41"/>
      <c r="K444" s="41"/>
    </row>
    <row r="445" ht="15.75" customHeight="1">
      <c r="I445" s="41"/>
      <c r="J445" s="41"/>
      <c r="K445" s="41"/>
    </row>
    <row r="446" ht="15.75" customHeight="1">
      <c r="I446" s="41"/>
      <c r="J446" s="41"/>
      <c r="K446" s="41"/>
    </row>
    <row r="447" ht="15.75" customHeight="1">
      <c r="I447" s="41"/>
      <c r="J447" s="41"/>
      <c r="K447" s="41"/>
    </row>
    <row r="448" ht="15.75" customHeight="1">
      <c r="I448" s="41"/>
      <c r="J448" s="41"/>
      <c r="K448" s="41"/>
    </row>
    <row r="449" ht="15.75" customHeight="1">
      <c r="I449" s="41"/>
      <c r="J449" s="41"/>
      <c r="K449" s="41"/>
    </row>
    <row r="450" ht="15.75" customHeight="1">
      <c r="I450" s="41"/>
      <c r="J450" s="41"/>
      <c r="K450" s="41"/>
    </row>
    <row r="451" ht="15.75" customHeight="1">
      <c r="I451" s="41"/>
      <c r="J451" s="41"/>
      <c r="K451" s="41"/>
    </row>
    <row r="452" ht="15.75" customHeight="1">
      <c r="I452" s="41"/>
      <c r="J452" s="41"/>
      <c r="K452" s="41"/>
    </row>
    <row r="453" ht="15.75" customHeight="1">
      <c r="I453" s="41"/>
      <c r="J453" s="41"/>
      <c r="K453" s="41"/>
    </row>
    <row r="454" ht="15.75" customHeight="1">
      <c r="I454" s="41"/>
      <c r="J454" s="41"/>
      <c r="K454" s="41"/>
    </row>
    <row r="455" ht="15.75" customHeight="1">
      <c r="I455" s="41"/>
      <c r="J455" s="41"/>
      <c r="K455" s="41"/>
    </row>
    <row r="456" ht="15.75" customHeight="1">
      <c r="I456" s="41"/>
      <c r="J456" s="41"/>
      <c r="K456" s="41"/>
    </row>
    <row r="457" ht="15.75" customHeight="1">
      <c r="I457" s="41"/>
      <c r="J457" s="41"/>
      <c r="K457" s="41"/>
    </row>
    <row r="458" ht="15.75" customHeight="1">
      <c r="I458" s="41"/>
      <c r="J458" s="41"/>
      <c r="K458" s="41"/>
    </row>
    <row r="459" ht="15.75" customHeight="1">
      <c r="I459" s="41"/>
      <c r="J459" s="41"/>
      <c r="K459" s="41"/>
    </row>
    <row r="460" ht="15.75" customHeight="1">
      <c r="I460" s="41"/>
      <c r="J460" s="41"/>
      <c r="K460" s="41"/>
    </row>
    <row r="461" ht="15.75" customHeight="1">
      <c r="I461" s="41"/>
      <c r="J461" s="41"/>
      <c r="K461" s="41"/>
    </row>
    <row r="462" ht="15.75" customHeight="1">
      <c r="I462" s="41"/>
      <c r="J462" s="41"/>
      <c r="K462" s="41"/>
    </row>
    <row r="463" ht="15.75" customHeight="1">
      <c r="I463" s="41"/>
      <c r="J463" s="41"/>
      <c r="K463" s="41"/>
    </row>
    <row r="464" ht="15.75" customHeight="1">
      <c r="I464" s="41"/>
      <c r="J464" s="41"/>
      <c r="K464" s="41"/>
    </row>
    <row r="465" ht="15.75" customHeight="1">
      <c r="I465" s="41"/>
      <c r="J465" s="41"/>
      <c r="K465" s="41"/>
    </row>
    <row r="466" ht="15.75" customHeight="1">
      <c r="I466" s="41"/>
      <c r="J466" s="41"/>
      <c r="K466" s="41"/>
    </row>
    <row r="467" ht="15.75" customHeight="1">
      <c r="I467" s="41"/>
      <c r="J467" s="41"/>
      <c r="K467" s="41"/>
    </row>
    <row r="468" ht="15.75" customHeight="1">
      <c r="I468" s="41"/>
      <c r="J468" s="41"/>
      <c r="K468" s="41"/>
    </row>
    <row r="469" ht="15.75" customHeight="1">
      <c r="I469" s="41"/>
      <c r="J469" s="41"/>
      <c r="K469" s="41"/>
    </row>
    <row r="470" ht="15.75" customHeight="1">
      <c r="I470" s="41"/>
      <c r="J470" s="41"/>
      <c r="K470" s="41"/>
    </row>
    <row r="471" ht="15.75" customHeight="1">
      <c r="I471" s="41"/>
      <c r="J471" s="41"/>
      <c r="K471" s="41"/>
    </row>
    <row r="472" ht="15.75" customHeight="1">
      <c r="I472" s="41"/>
      <c r="J472" s="41"/>
      <c r="K472" s="41"/>
    </row>
    <row r="473" ht="15.75" customHeight="1">
      <c r="I473" s="41"/>
      <c r="J473" s="41"/>
      <c r="K473" s="41"/>
    </row>
    <row r="474" ht="15.75" customHeight="1">
      <c r="I474" s="41"/>
      <c r="J474" s="41"/>
      <c r="K474" s="41"/>
    </row>
    <row r="475" ht="15.75" customHeight="1">
      <c r="I475" s="41"/>
      <c r="J475" s="41"/>
      <c r="K475" s="41"/>
    </row>
    <row r="476" ht="15.75" customHeight="1">
      <c r="I476" s="41"/>
      <c r="J476" s="41"/>
      <c r="K476" s="41"/>
    </row>
    <row r="477" ht="15.75" customHeight="1">
      <c r="I477" s="41"/>
      <c r="J477" s="41"/>
      <c r="K477" s="41"/>
    </row>
    <row r="478" ht="15.75" customHeight="1">
      <c r="I478" s="41"/>
      <c r="J478" s="41"/>
      <c r="K478" s="41"/>
    </row>
    <row r="479" ht="15.75" customHeight="1">
      <c r="I479" s="41"/>
      <c r="J479" s="41"/>
      <c r="K479" s="41"/>
    </row>
    <row r="480" ht="15.75" customHeight="1">
      <c r="I480" s="41"/>
      <c r="J480" s="41"/>
      <c r="K480" s="41"/>
    </row>
    <row r="481" ht="15.75" customHeight="1">
      <c r="I481" s="41"/>
      <c r="J481" s="41"/>
      <c r="K481" s="41"/>
    </row>
    <row r="482" ht="15.75" customHeight="1">
      <c r="I482" s="41"/>
      <c r="J482" s="41"/>
      <c r="K482" s="41"/>
    </row>
    <row r="483" ht="15.75" customHeight="1">
      <c r="I483" s="41"/>
      <c r="J483" s="41"/>
      <c r="K483" s="41"/>
    </row>
    <row r="484" ht="15.75" customHeight="1">
      <c r="I484" s="41"/>
      <c r="J484" s="41"/>
      <c r="K484" s="41"/>
    </row>
    <row r="485" ht="15.75" customHeight="1">
      <c r="I485" s="41"/>
      <c r="J485" s="41"/>
      <c r="K485" s="41"/>
    </row>
    <row r="486" ht="15.75" customHeight="1">
      <c r="I486" s="41"/>
      <c r="J486" s="41"/>
      <c r="K486" s="41"/>
    </row>
    <row r="487" ht="15.75" customHeight="1">
      <c r="I487" s="41"/>
      <c r="J487" s="41"/>
      <c r="K487" s="41"/>
    </row>
    <row r="488" ht="15.75" customHeight="1">
      <c r="I488" s="41"/>
      <c r="J488" s="41"/>
      <c r="K488" s="41"/>
    </row>
    <row r="489" ht="15.75" customHeight="1">
      <c r="I489" s="41"/>
      <c r="J489" s="41"/>
      <c r="K489" s="41"/>
    </row>
    <row r="490" ht="15.75" customHeight="1">
      <c r="I490" s="41"/>
      <c r="J490" s="41"/>
      <c r="K490" s="41"/>
    </row>
    <row r="491" ht="15.75" customHeight="1">
      <c r="I491" s="41"/>
      <c r="J491" s="41"/>
      <c r="K491" s="41"/>
    </row>
    <row r="492" ht="15.75" customHeight="1">
      <c r="I492" s="41"/>
      <c r="J492" s="41"/>
      <c r="K492" s="41"/>
    </row>
    <row r="493" ht="15.75" customHeight="1">
      <c r="I493" s="41"/>
      <c r="J493" s="41"/>
      <c r="K493" s="41"/>
    </row>
    <row r="494" ht="15.75" customHeight="1">
      <c r="I494" s="41"/>
      <c r="J494" s="41"/>
      <c r="K494" s="41"/>
    </row>
    <row r="495" ht="15.75" customHeight="1">
      <c r="I495" s="41"/>
      <c r="J495" s="41"/>
      <c r="K495" s="41"/>
    </row>
    <row r="496" ht="15.75" customHeight="1">
      <c r="I496" s="41"/>
      <c r="J496" s="41"/>
      <c r="K496" s="41"/>
    </row>
    <row r="497" ht="15.75" customHeight="1">
      <c r="I497" s="41"/>
      <c r="J497" s="41"/>
      <c r="K497" s="41"/>
    </row>
    <row r="498" ht="15.75" customHeight="1">
      <c r="I498" s="41"/>
      <c r="J498" s="41"/>
      <c r="K498" s="41"/>
    </row>
    <row r="499" ht="15.75" customHeight="1">
      <c r="I499" s="41"/>
      <c r="J499" s="41"/>
      <c r="K499" s="41"/>
    </row>
    <row r="500" ht="15.75" customHeight="1">
      <c r="I500" s="41"/>
      <c r="J500" s="41"/>
      <c r="K500" s="41"/>
    </row>
    <row r="501" ht="15.75" customHeight="1">
      <c r="I501" s="41"/>
      <c r="J501" s="41"/>
      <c r="K501" s="41"/>
    </row>
    <row r="502" ht="15.75" customHeight="1">
      <c r="I502" s="41"/>
      <c r="J502" s="41"/>
      <c r="K502" s="41"/>
    </row>
    <row r="503" ht="15.75" customHeight="1">
      <c r="I503" s="41"/>
      <c r="J503" s="41"/>
      <c r="K503" s="41"/>
    </row>
    <row r="504" ht="15.75" customHeight="1">
      <c r="I504" s="41"/>
      <c r="J504" s="41"/>
      <c r="K504" s="41"/>
    </row>
    <row r="505" ht="15.75" customHeight="1">
      <c r="I505" s="41"/>
      <c r="J505" s="41"/>
      <c r="K505" s="41"/>
    </row>
    <row r="506" ht="15.75" customHeight="1">
      <c r="I506" s="41"/>
      <c r="J506" s="41"/>
      <c r="K506" s="41"/>
    </row>
    <row r="507" ht="15.75" customHeight="1">
      <c r="I507" s="41"/>
      <c r="J507" s="41"/>
      <c r="K507" s="41"/>
    </row>
    <row r="508" ht="15.75" customHeight="1">
      <c r="I508" s="41"/>
      <c r="J508" s="41"/>
      <c r="K508" s="41"/>
    </row>
    <row r="509" ht="15.75" customHeight="1">
      <c r="I509" s="41"/>
      <c r="J509" s="41"/>
      <c r="K509" s="41"/>
    </row>
    <row r="510" ht="15.75" customHeight="1">
      <c r="I510" s="41"/>
      <c r="J510" s="41"/>
      <c r="K510" s="41"/>
    </row>
    <row r="511" ht="15.75" customHeight="1">
      <c r="I511" s="41"/>
      <c r="J511" s="41"/>
      <c r="K511" s="41"/>
    </row>
    <row r="512" ht="15.75" customHeight="1">
      <c r="I512" s="41"/>
      <c r="J512" s="41"/>
      <c r="K512" s="41"/>
    </row>
    <row r="513" ht="15.75" customHeight="1">
      <c r="I513" s="41"/>
      <c r="J513" s="41"/>
      <c r="K513" s="41"/>
    </row>
    <row r="514" ht="15.75" customHeight="1">
      <c r="I514" s="41"/>
      <c r="J514" s="41"/>
      <c r="K514" s="41"/>
    </row>
    <row r="515" ht="15.75" customHeight="1">
      <c r="I515" s="41"/>
      <c r="J515" s="41"/>
      <c r="K515" s="41"/>
    </row>
    <row r="516" ht="15.75" customHeight="1">
      <c r="I516" s="41"/>
      <c r="J516" s="41"/>
      <c r="K516" s="41"/>
    </row>
    <row r="517" ht="15.75" customHeight="1">
      <c r="I517" s="41"/>
      <c r="J517" s="41"/>
      <c r="K517" s="41"/>
    </row>
    <row r="518" ht="15.75" customHeight="1">
      <c r="I518" s="41"/>
      <c r="J518" s="41"/>
      <c r="K518" s="41"/>
    </row>
    <row r="519" ht="15.75" customHeight="1">
      <c r="I519" s="41"/>
      <c r="J519" s="41"/>
      <c r="K519" s="41"/>
    </row>
    <row r="520" ht="15.75" customHeight="1">
      <c r="I520" s="41"/>
      <c r="J520" s="41"/>
      <c r="K520" s="41"/>
    </row>
    <row r="521" ht="15.75" customHeight="1">
      <c r="I521" s="41"/>
      <c r="J521" s="41"/>
      <c r="K521" s="41"/>
    </row>
    <row r="522" ht="15.75" customHeight="1">
      <c r="I522" s="41"/>
      <c r="J522" s="41"/>
      <c r="K522" s="41"/>
    </row>
    <row r="523" ht="15.75" customHeight="1">
      <c r="I523" s="41"/>
      <c r="J523" s="41"/>
      <c r="K523" s="41"/>
    </row>
    <row r="524" ht="15.75" customHeight="1">
      <c r="I524" s="41"/>
      <c r="J524" s="41"/>
      <c r="K524" s="41"/>
    </row>
    <row r="525" ht="15.75" customHeight="1">
      <c r="I525" s="41"/>
      <c r="J525" s="41"/>
      <c r="K525" s="41"/>
    </row>
    <row r="526" ht="15.75" customHeight="1">
      <c r="I526" s="41"/>
      <c r="J526" s="41"/>
      <c r="K526" s="41"/>
    </row>
    <row r="527" ht="15.75" customHeight="1">
      <c r="I527" s="41"/>
      <c r="J527" s="41"/>
      <c r="K527" s="41"/>
    </row>
    <row r="528" ht="15.75" customHeight="1">
      <c r="I528" s="41"/>
      <c r="J528" s="41"/>
      <c r="K528" s="41"/>
    </row>
    <row r="529" ht="15.75" customHeight="1">
      <c r="I529" s="41"/>
      <c r="J529" s="41"/>
      <c r="K529" s="41"/>
    </row>
    <row r="530" ht="15.75" customHeight="1">
      <c r="I530" s="41"/>
      <c r="J530" s="41"/>
      <c r="K530" s="41"/>
    </row>
    <row r="531" ht="15.75" customHeight="1">
      <c r="I531" s="41"/>
      <c r="J531" s="41"/>
      <c r="K531" s="41"/>
    </row>
    <row r="532" ht="15.75" customHeight="1">
      <c r="I532" s="41"/>
      <c r="J532" s="41"/>
      <c r="K532" s="41"/>
    </row>
    <row r="533" ht="15.75" customHeight="1">
      <c r="I533" s="41"/>
      <c r="J533" s="41"/>
      <c r="K533" s="41"/>
    </row>
    <row r="534" ht="15.75" customHeight="1">
      <c r="I534" s="41"/>
      <c r="J534" s="41"/>
      <c r="K534" s="41"/>
    </row>
    <row r="535" ht="15.75" customHeight="1">
      <c r="I535" s="41"/>
      <c r="J535" s="41"/>
      <c r="K535" s="41"/>
    </row>
    <row r="536" ht="15.75" customHeight="1">
      <c r="I536" s="41"/>
      <c r="J536" s="41"/>
      <c r="K536" s="41"/>
    </row>
    <row r="537" ht="15.75" customHeight="1">
      <c r="I537" s="41"/>
      <c r="J537" s="41"/>
      <c r="K537" s="41"/>
    </row>
    <row r="538" ht="15.75" customHeight="1">
      <c r="I538" s="41"/>
      <c r="J538" s="41"/>
      <c r="K538" s="41"/>
    </row>
    <row r="539" ht="15.75" customHeight="1">
      <c r="I539" s="41"/>
      <c r="J539" s="41"/>
      <c r="K539" s="41"/>
    </row>
    <row r="540" ht="15.75" customHeight="1">
      <c r="I540" s="41"/>
      <c r="J540" s="41"/>
      <c r="K540" s="41"/>
    </row>
    <row r="541" ht="15.75" customHeight="1">
      <c r="I541" s="41"/>
      <c r="J541" s="41"/>
      <c r="K541" s="41"/>
    </row>
    <row r="542" ht="15.75" customHeight="1">
      <c r="I542" s="41"/>
      <c r="J542" s="41"/>
      <c r="K542" s="41"/>
    </row>
    <row r="543" ht="15.75" customHeight="1">
      <c r="I543" s="41"/>
      <c r="J543" s="41"/>
      <c r="K543" s="41"/>
    </row>
    <row r="544" ht="15.75" customHeight="1">
      <c r="I544" s="41"/>
      <c r="J544" s="41"/>
      <c r="K544" s="41"/>
    </row>
    <row r="545" ht="15.75" customHeight="1">
      <c r="I545" s="41"/>
      <c r="J545" s="41"/>
      <c r="K545" s="41"/>
    </row>
    <row r="546" ht="15.75" customHeight="1">
      <c r="I546" s="41"/>
      <c r="J546" s="41"/>
      <c r="K546" s="41"/>
    </row>
    <row r="547" ht="15.75" customHeight="1">
      <c r="I547" s="41"/>
      <c r="J547" s="41"/>
      <c r="K547" s="41"/>
    </row>
    <row r="548" ht="15.75" customHeight="1">
      <c r="I548" s="41"/>
      <c r="J548" s="41"/>
      <c r="K548" s="41"/>
    </row>
    <row r="549" ht="15.75" customHeight="1">
      <c r="I549" s="41"/>
      <c r="J549" s="41"/>
      <c r="K549" s="41"/>
    </row>
    <row r="550" ht="15.75" customHeight="1">
      <c r="I550" s="41"/>
      <c r="J550" s="41"/>
      <c r="K550" s="41"/>
    </row>
    <row r="551" ht="15.75" customHeight="1">
      <c r="I551" s="41"/>
      <c r="J551" s="41"/>
      <c r="K551" s="41"/>
    </row>
    <row r="552" ht="15.75" customHeight="1">
      <c r="I552" s="41"/>
      <c r="J552" s="41"/>
      <c r="K552" s="41"/>
    </row>
    <row r="553" ht="15.75" customHeight="1">
      <c r="I553" s="41"/>
      <c r="J553" s="41"/>
      <c r="K553" s="41"/>
    </row>
    <row r="554" ht="15.75" customHeight="1">
      <c r="I554" s="41"/>
      <c r="J554" s="41"/>
      <c r="K554" s="41"/>
    </row>
    <row r="555" ht="15.75" customHeight="1">
      <c r="I555" s="41"/>
      <c r="J555" s="41"/>
      <c r="K555" s="41"/>
    </row>
    <row r="556" ht="15.75" customHeight="1">
      <c r="I556" s="41"/>
      <c r="J556" s="41"/>
      <c r="K556" s="41"/>
    </row>
    <row r="557" ht="15.75" customHeight="1">
      <c r="I557" s="41"/>
      <c r="J557" s="41"/>
      <c r="K557" s="41"/>
    </row>
    <row r="558" ht="15.75" customHeight="1">
      <c r="I558" s="41"/>
      <c r="J558" s="41"/>
      <c r="K558" s="41"/>
    </row>
    <row r="559" ht="15.75" customHeight="1">
      <c r="I559" s="41"/>
      <c r="J559" s="41"/>
      <c r="K559" s="41"/>
    </row>
    <row r="560" ht="15.75" customHeight="1">
      <c r="I560" s="41"/>
      <c r="J560" s="41"/>
      <c r="K560" s="41"/>
    </row>
    <row r="561" ht="15.75" customHeight="1">
      <c r="I561" s="41"/>
      <c r="J561" s="41"/>
      <c r="K561" s="41"/>
    </row>
    <row r="562" ht="15.75" customHeight="1">
      <c r="I562" s="41"/>
      <c r="J562" s="41"/>
      <c r="K562" s="41"/>
    </row>
    <row r="563" ht="15.75" customHeight="1">
      <c r="I563" s="41"/>
      <c r="J563" s="41"/>
      <c r="K563" s="41"/>
    </row>
    <row r="564" ht="15.75" customHeight="1">
      <c r="I564" s="41"/>
      <c r="J564" s="41"/>
      <c r="K564" s="41"/>
    </row>
    <row r="565" ht="15.75" customHeight="1">
      <c r="I565" s="41"/>
      <c r="J565" s="41"/>
      <c r="K565" s="41"/>
    </row>
    <row r="566" ht="15.75" customHeight="1">
      <c r="I566" s="41"/>
      <c r="J566" s="41"/>
      <c r="K566" s="41"/>
    </row>
    <row r="567" ht="15.75" customHeight="1">
      <c r="I567" s="41"/>
      <c r="J567" s="41"/>
      <c r="K567" s="41"/>
    </row>
    <row r="568" ht="15.75" customHeight="1">
      <c r="I568" s="41"/>
      <c r="J568" s="41"/>
      <c r="K568" s="41"/>
    </row>
    <row r="569" ht="15.75" customHeight="1">
      <c r="I569" s="41"/>
      <c r="J569" s="41"/>
      <c r="K569" s="41"/>
    </row>
    <row r="570" ht="15.75" customHeight="1">
      <c r="I570" s="41"/>
      <c r="J570" s="41"/>
      <c r="K570" s="41"/>
    </row>
    <row r="571" ht="15.75" customHeight="1">
      <c r="I571" s="41"/>
      <c r="J571" s="41"/>
      <c r="K571" s="41"/>
    </row>
    <row r="572" ht="15.75" customHeight="1">
      <c r="I572" s="41"/>
      <c r="J572" s="41"/>
      <c r="K572" s="41"/>
    </row>
    <row r="573" ht="15.75" customHeight="1">
      <c r="I573" s="41"/>
      <c r="J573" s="41"/>
      <c r="K573" s="41"/>
    </row>
    <row r="574" ht="15.75" customHeight="1">
      <c r="I574" s="41"/>
      <c r="J574" s="41"/>
      <c r="K574" s="41"/>
    </row>
    <row r="575" ht="15.75" customHeight="1">
      <c r="I575" s="41"/>
      <c r="J575" s="41"/>
      <c r="K575" s="41"/>
    </row>
    <row r="576" ht="15.75" customHeight="1">
      <c r="I576" s="41"/>
      <c r="J576" s="41"/>
      <c r="K576" s="41"/>
    </row>
    <row r="577" ht="15.75" customHeight="1">
      <c r="I577" s="41"/>
      <c r="J577" s="41"/>
      <c r="K577" s="41"/>
    </row>
    <row r="578" ht="15.75" customHeight="1">
      <c r="I578" s="41"/>
      <c r="J578" s="41"/>
      <c r="K578" s="41"/>
    </row>
    <row r="579" ht="15.75" customHeight="1">
      <c r="I579" s="41"/>
      <c r="J579" s="41"/>
      <c r="K579" s="41"/>
    </row>
    <row r="580" ht="15.75" customHeight="1">
      <c r="I580" s="41"/>
      <c r="J580" s="41"/>
      <c r="K580" s="41"/>
    </row>
    <row r="581" ht="15.75" customHeight="1">
      <c r="I581" s="41"/>
      <c r="J581" s="41"/>
      <c r="K581" s="41"/>
    </row>
    <row r="582" ht="15.75" customHeight="1">
      <c r="I582" s="41"/>
      <c r="J582" s="41"/>
      <c r="K582" s="41"/>
    </row>
    <row r="583" ht="15.75" customHeight="1">
      <c r="I583" s="41"/>
      <c r="J583" s="41"/>
      <c r="K583" s="41"/>
    </row>
    <row r="584" ht="15.75" customHeight="1">
      <c r="I584" s="41"/>
      <c r="J584" s="41"/>
      <c r="K584" s="41"/>
    </row>
    <row r="585" ht="15.75" customHeight="1">
      <c r="I585" s="41"/>
      <c r="J585" s="41"/>
      <c r="K585" s="41"/>
    </row>
    <row r="586" ht="15.75" customHeight="1">
      <c r="I586" s="41"/>
      <c r="J586" s="41"/>
      <c r="K586" s="41"/>
    </row>
    <row r="587" ht="15.75" customHeight="1">
      <c r="I587" s="41"/>
      <c r="J587" s="41"/>
      <c r="K587" s="41"/>
    </row>
    <row r="588" ht="15.75" customHeight="1">
      <c r="I588" s="41"/>
      <c r="J588" s="41"/>
      <c r="K588" s="41"/>
    </row>
    <row r="589" ht="15.75" customHeight="1">
      <c r="I589" s="41"/>
      <c r="J589" s="41"/>
      <c r="K589" s="41"/>
    </row>
    <row r="590" ht="15.75" customHeight="1">
      <c r="I590" s="41"/>
      <c r="J590" s="41"/>
      <c r="K590" s="41"/>
    </row>
    <row r="591" ht="15.75" customHeight="1">
      <c r="I591" s="41"/>
      <c r="J591" s="41"/>
      <c r="K591" s="41"/>
    </row>
    <row r="592" ht="15.75" customHeight="1">
      <c r="I592" s="41"/>
      <c r="J592" s="41"/>
      <c r="K592" s="41"/>
    </row>
    <row r="593" ht="15.75" customHeight="1">
      <c r="I593" s="41"/>
      <c r="J593" s="41"/>
      <c r="K593" s="41"/>
    </row>
    <row r="594" ht="15.75" customHeight="1">
      <c r="I594" s="41"/>
      <c r="J594" s="41"/>
      <c r="K594" s="41"/>
    </row>
    <row r="595" ht="15.75" customHeight="1">
      <c r="I595" s="41"/>
      <c r="J595" s="41"/>
      <c r="K595" s="41"/>
    </row>
    <row r="596" ht="15.75" customHeight="1">
      <c r="I596" s="41"/>
      <c r="J596" s="41"/>
      <c r="K596" s="41"/>
    </row>
    <row r="597" ht="15.75" customHeight="1">
      <c r="I597" s="41"/>
      <c r="J597" s="41"/>
      <c r="K597" s="41"/>
    </row>
    <row r="598" ht="15.75" customHeight="1">
      <c r="I598" s="41"/>
      <c r="J598" s="41"/>
      <c r="K598" s="41"/>
    </row>
    <row r="599" ht="15.75" customHeight="1">
      <c r="I599" s="41"/>
      <c r="J599" s="41"/>
      <c r="K599" s="41"/>
    </row>
    <row r="600" ht="15.75" customHeight="1">
      <c r="I600" s="41"/>
      <c r="J600" s="41"/>
      <c r="K600" s="41"/>
    </row>
    <row r="601" ht="15.75" customHeight="1">
      <c r="I601" s="41"/>
      <c r="J601" s="41"/>
      <c r="K601" s="41"/>
    </row>
    <row r="602" ht="15.75" customHeight="1">
      <c r="I602" s="41"/>
      <c r="J602" s="41"/>
      <c r="K602" s="41"/>
    </row>
    <row r="603" ht="15.75" customHeight="1">
      <c r="I603" s="41"/>
      <c r="J603" s="41"/>
      <c r="K603" s="41"/>
    </row>
    <row r="604" ht="15.75" customHeight="1">
      <c r="I604" s="41"/>
      <c r="J604" s="41"/>
      <c r="K604" s="41"/>
    </row>
    <row r="605" ht="15.75" customHeight="1">
      <c r="I605" s="41"/>
      <c r="J605" s="41"/>
      <c r="K605" s="41"/>
    </row>
    <row r="606" ht="15.75" customHeight="1">
      <c r="I606" s="41"/>
      <c r="J606" s="41"/>
      <c r="K606" s="41"/>
    </row>
    <row r="607" ht="15.75" customHeight="1">
      <c r="I607" s="41"/>
      <c r="J607" s="41"/>
      <c r="K607" s="41"/>
    </row>
    <row r="608" ht="15.75" customHeight="1">
      <c r="I608" s="41"/>
      <c r="J608" s="41"/>
      <c r="K608" s="41"/>
    </row>
    <row r="609" ht="15.75" customHeight="1">
      <c r="I609" s="41"/>
      <c r="J609" s="41"/>
      <c r="K609" s="41"/>
    </row>
    <row r="610" ht="15.75" customHeight="1">
      <c r="I610" s="41"/>
      <c r="J610" s="41"/>
      <c r="K610" s="41"/>
    </row>
    <row r="611" ht="15.75" customHeight="1">
      <c r="I611" s="41"/>
      <c r="J611" s="41"/>
      <c r="K611" s="41"/>
    </row>
    <row r="612" ht="15.75" customHeight="1">
      <c r="I612" s="41"/>
      <c r="J612" s="41"/>
      <c r="K612" s="41"/>
    </row>
    <row r="613" ht="15.75" customHeight="1">
      <c r="I613" s="41"/>
      <c r="J613" s="41"/>
      <c r="K613" s="41"/>
    </row>
    <row r="614" ht="15.75" customHeight="1">
      <c r="I614" s="41"/>
      <c r="J614" s="41"/>
      <c r="K614" s="41"/>
    </row>
    <row r="615" ht="15.75" customHeight="1">
      <c r="I615" s="41"/>
      <c r="J615" s="41"/>
      <c r="K615" s="41"/>
    </row>
    <row r="616" ht="15.75" customHeight="1">
      <c r="I616" s="41"/>
      <c r="J616" s="41"/>
      <c r="K616" s="41"/>
    </row>
    <row r="617" ht="15.75" customHeight="1">
      <c r="I617" s="41"/>
      <c r="J617" s="41"/>
      <c r="K617" s="41"/>
    </row>
    <row r="618" ht="15.75" customHeight="1">
      <c r="I618" s="41"/>
      <c r="J618" s="41"/>
      <c r="K618" s="41"/>
    </row>
    <row r="619" ht="15.75" customHeight="1">
      <c r="I619" s="41"/>
      <c r="J619" s="41"/>
      <c r="K619" s="41"/>
    </row>
    <row r="620" ht="15.75" customHeight="1">
      <c r="I620" s="41"/>
      <c r="J620" s="41"/>
      <c r="K620" s="41"/>
    </row>
    <row r="621" ht="15.75" customHeight="1">
      <c r="I621" s="41"/>
      <c r="J621" s="41"/>
      <c r="K621" s="41"/>
    </row>
    <row r="622" ht="15.75" customHeight="1">
      <c r="I622" s="41"/>
      <c r="J622" s="41"/>
      <c r="K622" s="41"/>
    </row>
    <row r="623" ht="15.75" customHeight="1">
      <c r="I623" s="41"/>
      <c r="J623" s="41"/>
      <c r="K623" s="41"/>
    </row>
    <row r="624" ht="15.75" customHeight="1">
      <c r="I624" s="41"/>
      <c r="J624" s="41"/>
      <c r="K624" s="41"/>
    </row>
    <row r="625" ht="15.75" customHeight="1">
      <c r="I625" s="41"/>
      <c r="J625" s="41"/>
      <c r="K625" s="41"/>
    </row>
    <row r="626" ht="15.75" customHeight="1">
      <c r="I626" s="41"/>
      <c r="J626" s="41"/>
      <c r="K626" s="41"/>
    </row>
    <row r="627" ht="15.75" customHeight="1">
      <c r="I627" s="41"/>
      <c r="J627" s="41"/>
      <c r="K627" s="41"/>
    </row>
    <row r="628" ht="15.75" customHeight="1">
      <c r="I628" s="41"/>
      <c r="J628" s="41"/>
      <c r="K628" s="41"/>
    </row>
    <row r="629" ht="15.75" customHeight="1">
      <c r="I629" s="41"/>
      <c r="J629" s="41"/>
      <c r="K629" s="41"/>
    </row>
    <row r="630" ht="15.75" customHeight="1">
      <c r="I630" s="41"/>
      <c r="J630" s="41"/>
      <c r="K630" s="41"/>
    </row>
    <row r="631" ht="15.75" customHeight="1">
      <c r="I631" s="41"/>
      <c r="J631" s="41"/>
      <c r="K631" s="41"/>
    </row>
    <row r="632" ht="15.75" customHeight="1">
      <c r="I632" s="41"/>
      <c r="J632" s="41"/>
      <c r="K632" s="41"/>
    </row>
    <row r="633" ht="15.75" customHeight="1">
      <c r="I633" s="41"/>
      <c r="J633" s="41"/>
      <c r="K633" s="41"/>
    </row>
    <row r="634" ht="15.75" customHeight="1">
      <c r="I634" s="41"/>
      <c r="J634" s="41"/>
      <c r="K634" s="41"/>
    </row>
    <row r="635" ht="15.75" customHeight="1">
      <c r="I635" s="41"/>
      <c r="J635" s="41"/>
      <c r="K635" s="41"/>
    </row>
    <row r="636" ht="15.75" customHeight="1">
      <c r="I636" s="41"/>
      <c r="J636" s="41"/>
      <c r="K636" s="41"/>
    </row>
    <row r="637" ht="15.75" customHeight="1">
      <c r="I637" s="41"/>
      <c r="J637" s="41"/>
      <c r="K637" s="41"/>
    </row>
    <row r="638" ht="15.75" customHeight="1">
      <c r="I638" s="41"/>
      <c r="J638" s="41"/>
      <c r="K638" s="41"/>
    </row>
    <row r="639" ht="15.75" customHeight="1">
      <c r="I639" s="41"/>
      <c r="J639" s="41"/>
      <c r="K639" s="41"/>
    </row>
    <row r="640" ht="15.75" customHeight="1">
      <c r="I640" s="41"/>
      <c r="J640" s="41"/>
      <c r="K640" s="41"/>
    </row>
    <row r="641" ht="15.75" customHeight="1">
      <c r="I641" s="41"/>
      <c r="J641" s="41"/>
      <c r="K641" s="41"/>
    </row>
    <row r="642" ht="15.75" customHeight="1">
      <c r="I642" s="41"/>
      <c r="J642" s="41"/>
      <c r="K642" s="41"/>
    </row>
    <row r="643" ht="15.75" customHeight="1">
      <c r="I643" s="41"/>
      <c r="J643" s="41"/>
      <c r="K643" s="41"/>
    </row>
    <row r="644" ht="15.75" customHeight="1">
      <c r="I644" s="41"/>
      <c r="J644" s="41"/>
      <c r="K644" s="41"/>
    </row>
    <row r="645" ht="15.75" customHeight="1">
      <c r="I645" s="41"/>
      <c r="J645" s="41"/>
      <c r="K645" s="41"/>
    </row>
    <row r="646" ht="15.75" customHeight="1">
      <c r="I646" s="41"/>
      <c r="J646" s="41"/>
      <c r="K646" s="41"/>
    </row>
    <row r="647" ht="15.75" customHeight="1">
      <c r="I647" s="41"/>
      <c r="J647" s="41"/>
      <c r="K647" s="41"/>
    </row>
    <row r="648" ht="15.75" customHeight="1">
      <c r="I648" s="41"/>
      <c r="J648" s="41"/>
      <c r="K648" s="41"/>
    </row>
    <row r="649" ht="15.75" customHeight="1">
      <c r="I649" s="41"/>
      <c r="J649" s="41"/>
      <c r="K649" s="41"/>
    </row>
    <row r="650" ht="15.75" customHeight="1">
      <c r="I650" s="41"/>
      <c r="J650" s="41"/>
      <c r="K650" s="41"/>
    </row>
    <row r="651" ht="15.75" customHeight="1">
      <c r="I651" s="41"/>
      <c r="J651" s="41"/>
      <c r="K651" s="41"/>
    </row>
    <row r="652" ht="15.75" customHeight="1">
      <c r="I652" s="41"/>
      <c r="J652" s="41"/>
      <c r="K652" s="41"/>
    </row>
    <row r="653" ht="15.75" customHeight="1">
      <c r="I653" s="41"/>
      <c r="J653" s="41"/>
      <c r="K653" s="41"/>
    </row>
    <row r="654" ht="15.75" customHeight="1">
      <c r="I654" s="41"/>
      <c r="J654" s="41"/>
      <c r="K654" s="41"/>
    </row>
    <row r="655" ht="15.75" customHeight="1">
      <c r="I655" s="41"/>
      <c r="J655" s="41"/>
      <c r="K655" s="41"/>
    </row>
    <row r="656" ht="15.75" customHeight="1">
      <c r="I656" s="41"/>
      <c r="J656" s="41"/>
      <c r="K656" s="41"/>
    </row>
    <row r="657" ht="15.75" customHeight="1">
      <c r="I657" s="41"/>
      <c r="J657" s="41"/>
      <c r="K657" s="41"/>
    </row>
    <row r="658" ht="15.75" customHeight="1">
      <c r="I658" s="41"/>
      <c r="J658" s="41"/>
      <c r="K658" s="41"/>
    </row>
    <row r="659" ht="15.75" customHeight="1">
      <c r="I659" s="41"/>
      <c r="J659" s="41"/>
      <c r="K659" s="41"/>
    </row>
    <row r="660" ht="15.75" customHeight="1">
      <c r="I660" s="41"/>
      <c r="J660" s="41"/>
      <c r="K660" s="41"/>
    </row>
    <row r="661" ht="15.75" customHeight="1">
      <c r="I661" s="41"/>
      <c r="J661" s="41"/>
      <c r="K661" s="41"/>
    </row>
    <row r="662" ht="15.75" customHeight="1">
      <c r="I662" s="41"/>
      <c r="J662" s="41"/>
      <c r="K662" s="41"/>
    </row>
    <row r="663" ht="15.75" customHeight="1">
      <c r="I663" s="41"/>
      <c r="J663" s="41"/>
      <c r="K663" s="41"/>
    </row>
    <row r="664" ht="15.75" customHeight="1">
      <c r="I664" s="41"/>
      <c r="J664" s="41"/>
      <c r="K664" s="41"/>
    </row>
    <row r="665" ht="15.75" customHeight="1">
      <c r="I665" s="41"/>
      <c r="J665" s="41"/>
      <c r="K665" s="41"/>
    </row>
    <row r="666" ht="15.75" customHeight="1">
      <c r="I666" s="41"/>
      <c r="J666" s="41"/>
      <c r="K666" s="41"/>
    </row>
    <row r="667" ht="15.75" customHeight="1">
      <c r="I667" s="41"/>
      <c r="J667" s="41"/>
      <c r="K667" s="41"/>
    </row>
    <row r="668" ht="15.75" customHeight="1">
      <c r="I668" s="41"/>
      <c r="J668" s="41"/>
      <c r="K668" s="41"/>
    </row>
    <row r="669" ht="15.75" customHeight="1">
      <c r="I669" s="41"/>
      <c r="J669" s="41"/>
      <c r="K669" s="41"/>
    </row>
    <row r="670" ht="15.75" customHeight="1">
      <c r="I670" s="41"/>
      <c r="J670" s="41"/>
      <c r="K670" s="41"/>
    </row>
    <row r="671" ht="15.75" customHeight="1">
      <c r="I671" s="41"/>
      <c r="J671" s="41"/>
      <c r="K671" s="41"/>
    </row>
    <row r="672" ht="15.75" customHeight="1">
      <c r="I672" s="41"/>
      <c r="J672" s="41"/>
      <c r="K672" s="41"/>
    </row>
    <row r="673" ht="15.75" customHeight="1">
      <c r="I673" s="41"/>
      <c r="J673" s="41"/>
      <c r="K673" s="41"/>
    </row>
    <row r="674" ht="15.75" customHeight="1">
      <c r="I674" s="41"/>
      <c r="J674" s="41"/>
      <c r="K674" s="41"/>
    </row>
    <row r="675" ht="15.75" customHeight="1">
      <c r="I675" s="41"/>
      <c r="J675" s="41"/>
      <c r="K675" s="41"/>
    </row>
    <row r="676" ht="15.75" customHeight="1">
      <c r="I676" s="41"/>
      <c r="J676" s="41"/>
      <c r="K676" s="41"/>
    </row>
    <row r="677" ht="15.75" customHeight="1">
      <c r="I677" s="41"/>
      <c r="J677" s="41"/>
      <c r="K677" s="41"/>
    </row>
    <row r="678" ht="15.75" customHeight="1">
      <c r="I678" s="41"/>
      <c r="J678" s="41"/>
      <c r="K678" s="41"/>
    </row>
    <row r="679" ht="15.75" customHeight="1">
      <c r="I679" s="41"/>
      <c r="J679" s="41"/>
      <c r="K679" s="41"/>
    </row>
    <row r="680" ht="15.75" customHeight="1">
      <c r="I680" s="41"/>
      <c r="J680" s="41"/>
      <c r="K680" s="41"/>
    </row>
    <row r="681" ht="15.75" customHeight="1">
      <c r="I681" s="41"/>
      <c r="J681" s="41"/>
      <c r="K681" s="41"/>
    </row>
    <row r="682" ht="15.75" customHeight="1">
      <c r="I682" s="41"/>
      <c r="J682" s="41"/>
      <c r="K682" s="41"/>
    </row>
    <row r="683" ht="15.75" customHeight="1">
      <c r="I683" s="41"/>
      <c r="J683" s="41"/>
      <c r="K683" s="41"/>
    </row>
    <row r="684" ht="15.75" customHeight="1">
      <c r="I684" s="41"/>
      <c r="J684" s="41"/>
      <c r="K684" s="41"/>
    </row>
    <row r="685" ht="15.75" customHeight="1">
      <c r="I685" s="41"/>
      <c r="J685" s="41"/>
      <c r="K685" s="41"/>
    </row>
    <row r="686" ht="15.75" customHeight="1">
      <c r="I686" s="41"/>
      <c r="J686" s="41"/>
      <c r="K686" s="41"/>
    </row>
    <row r="687" ht="15.75" customHeight="1">
      <c r="I687" s="41"/>
      <c r="J687" s="41"/>
      <c r="K687" s="41"/>
    </row>
    <row r="688" ht="15.75" customHeight="1">
      <c r="I688" s="41"/>
      <c r="J688" s="41"/>
      <c r="K688" s="41"/>
    </row>
    <row r="689" ht="15.75" customHeight="1">
      <c r="I689" s="41"/>
      <c r="J689" s="41"/>
      <c r="K689" s="41"/>
    </row>
    <row r="690" ht="15.75" customHeight="1">
      <c r="I690" s="41"/>
      <c r="J690" s="41"/>
      <c r="K690" s="41"/>
    </row>
    <row r="691" ht="15.75" customHeight="1">
      <c r="I691" s="41"/>
      <c r="J691" s="41"/>
      <c r="K691" s="41"/>
    </row>
    <row r="692" ht="15.75" customHeight="1">
      <c r="I692" s="41"/>
      <c r="J692" s="41"/>
      <c r="K692" s="41"/>
    </row>
    <row r="693" ht="15.75" customHeight="1">
      <c r="I693" s="41"/>
      <c r="J693" s="41"/>
      <c r="K693" s="41"/>
    </row>
    <row r="694" ht="15.75" customHeight="1">
      <c r="I694" s="41"/>
      <c r="J694" s="41"/>
      <c r="K694" s="41"/>
    </row>
    <row r="695" ht="15.75" customHeight="1">
      <c r="I695" s="41"/>
      <c r="J695" s="41"/>
      <c r="K695" s="41"/>
    </row>
    <row r="696" ht="15.75" customHeight="1">
      <c r="I696" s="41"/>
      <c r="J696" s="41"/>
      <c r="K696" s="41"/>
    </row>
    <row r="697" ht="15.75" customHeight="1">
      <c r="I697" s="41"/>
      <c r="J697" s="41"/>
      <c r="K697" s="41"/>
    </row>
    <row r="698" ht="15.75" customHeight="1">
      <c r="I698" s="41"/>
      <c r="J698" s="41"/>
      <c r="K698" s="41"/>
    </row>
    <row r="699" ht="15.75" customHeight="1">
      <c r="I699" s="41"/>
      <c r="J699" s="41"/>
      <c r="K699" s="41"/>
    </row>
    <row r="700" ht="15.75" customHeight="1">
      <c r="I700" s="41"/>
      <c r="J700" s="41"/>
      <c r="K700" s="41"/>
    </row>
    <row r="701" ht="15.75" customHeight="1">
      <c r="I701" s="41"/>
      <c r="J701" s="41"/>
      <c r="K701" s="41"/>
    </row>
    <row r="702" ht="15.75" customHeight="1">
      <c r="I702" s="41"/>
      <c r="J702" s="41"/>
      <c r="K702" s="41"/>
    </row>
    <row r="703" ht="15.75" customHeight="1">
      <c r="I703" s="41"/>
      <c r="J703" s="41"/>
      <c r="K703" s="41"/>
    </row>
    <row r="704" ht="15.75" customHeight="1">
      <c r="I704" s="41"/>
      <c r="J704" s="41"/>
      <c r="K704" s="41"/>
    </row>
    <row r="705" ht="15.75" customHeight="1">
      <c r="I705" s="41"/>
      <c r="J705" s="41"/>
      <c r="K705" s="41"/>
    </row>
    <row r="706" ht="15.75" customHeight="1">
      <c r="I706" s="41"/>
      <c r="J706" s="41"/>
      <c r="K706" s="41"/>
    </row>
    <row r="707" ht="15.75" customHeight="1">
      <c r="I707" s="41"/>
      <c r="J707" s="41"/>
      <c r="K707" s="41"/>
    </row>
    <row r="708" ht="15.75" customHeight="1">
      <c r="I708" s="41"/>
      <c r="J708" s="41"/>
      <c r="K708" s="41"/>
    </row>
    <row r="709" ht="15.75" customHeight="1">
      <c r="I709" s="41"/>
      <c r="J709" s="41"/>
      <c r="K709" s="41"/>
    </row>
    <row r="710" ht="15.75" customHeight="1">
      <c r="I710" s="41"/>
      <c r="J710" s="41"/>
      <c r="K710" s="41"/>
    </row>
    <row r="711" ht="15.75" customHeight="1">
      <c r="I711" s="41"/>
      <c r="J711" s="41"/>
      <c r="K711" s="41"/>
    </row>
    <row r="712" ht="15.75" customHeight="1">
      <c r="I712" s="41"/>
      <c r="J712" s="41"/>
      <c r="K712" s="41"/>
    </row>
    <row r="713" ht="15.75" customHeight="1">
      <c r="I713" s="41"/>
      <c r="J713" s="41"/>
      <c r="K713" s="41"/>
    </row>
    <row r="714" ht="15.75" customHeight="1">
      <c r="I714" s="41"/>
      <c r="J714" s="41"/>
      <c r="K714" s="41"/>
    </row>
    <row r="715" ht="15.75" customHeight="1">
      <c r="I715" s="41"/>
      <c r="J715" s="41"/>
      <c r="K715" s="41"/>
    </row>
    <row r="716" ht="15.75" customHeight="1">
      <c r="I716" s="41"/>
      <c r="J716" s="41"/>
      <c r="K716" s="41"/>
    </row>
    <row r="717" ht="15.75" customHeight="1">
      <c r="I717" s="41"/>
      <c r="J717" s="41"/>
      <c r="K717" s="41"/>
    </row>
    <row r="718" ht="15.75" customHeight="1">
      <c r="I718" s="41"/>
      <c r="J718" s="41"/>
      <c r="K718" s="41"/>
    </row>
    <row r="719" ht="15.75" customHeight="1">
      <c r="I719" s="41"/>
      <c r="J719" s="41"/>
      <c r="K719" s="41"/>
    </row>
    <row r="720" ht="15.75" customHeight="1">
      <c r="I720" s="41"/>
      <c r="J720" s="41"/>
      <c r="K720" s="41"/>
    </row>
    <row r="721" ht="15.75" customHeight="1">
      <c r="I721" s="41"/>
      <c r="J721" s="41"/>
      <c r="K721" s="41"/>
    </row>
    <row r="722" ht="15.75" customHeight="1">
      <c r="I722" s="41"/>
      <c r="J722" s="41"/>
      <c r="K722" s="41"/>
    </row>
    <row r="723" ht="15.75" customHeight="1">
      <c r="I723" s="41"/>
      <c r="J723" s="41"/>
      <c r="K723" s="41"/>
    </row>
    <row r="724" ht="15.75" customHeight="1">
      <c r="I724" s="41"/>
      <c r="J724" s="41"/>
      <c r="K724" s="41"/>
    </row>
    <row r="725" ht="15.75" customHeight="1">
      <c r="I725" s="41"/>
      <c r="J725" s="41"/>
      <c r="K725" s="41"/>
    </row>
    <row r="726" ht="15.75" customHeight="1">
      <c r="I726" s="41"/>
      <c r="J726" s="41"/>
      <c r="K726" s="41"/>
    </row>
    <row r="727" ht="15.75" customHeight="1">
      <c r="I727" s="41"/>
      <c r="J727" s="41"/>
      <c r="K727" s="41"/>
    </row>
    <row r="728" ht="15.75" customHeight="1">
      <c r="I728" s="41"/>
      <c r="J728" s="41"/>
      <c r="K728" s="41"/>
    </row>
    <row r="729" ht="15.75" customHeight="1">
      <c r="I729" s="41"/>
      <c r="J729" s="41"/>
      <c r="K729" s="41"/>
    </row>
    <row r="730" ht="15.75" customHeight="1">
      <c r="I730" s="41"/>
      <c r="J730" s="41"/>
      <c r="K730" s="41"/>
    </row>
    <row r="731" ht="15.75" customHeight="1">
      <c r="I731" s="41"/>
      <c r="J731" s="41"/>
      <c r="K731" s="41"/>
    </row>
    <row r="732" ht="15.75" customHeight="1">
      <c r="I732" s="41"/>
      <c r="J732" s="41"/>
      <c r="K732" s="41"/>
    </row>
    <row r="733" ht="15.75" customHeight="1">
      <c r="I733" s="41"/>
      <c r="J733" s="41"/>
      <c r="K733" s="41"/>
    </row>
    <row r="734" ht="15.75" customHeight="1">
      <c r="I734" s="41"/>
      <c r="J734" s="41"/>
      <c r="K734" s="41"/>
    </row>
    <row r="735" ht="15.75" customHeight="1">
      <c r="I735" s="41"/>
      <c r="J735" s="41"/>
      <c r="K735" s="41"/>
    </row>
    <row r="736" ht="15.75" customHeight="1">
      <c r="I736" s="41"/>
      <c r="J736" s="41"/>
      <c r="K736" s="41"/>
    </row>
    <row r="737" ht="15.75" customHeight="1">
      <c r="I737" s="41"/>
      <c r="J737" s="41"/>
      <c r="K737" s="41"/>
    </row>
    <row r="738" ht="15.75" customHeight="1">
      <c r="I738" s="41"/>
      <c r="J738" s="41"/>
      <c r="K738" s="41"/>
    </row>
    <row r="739" ht="15.75" customHeight="1">
      <c r="I739" s="41"/>
      <c r="J739" s="41"/>
      <c r="K739" s="41"/>
    </row>
    <row r="740" ht="15.75" customHeight="1">
      <c r="I740" s="41"/>
      <c r="J740" s="41"/>
      <c r="K740" s="41"/>
    </row>
    <row r="741" ht="15.75" customHeight="1">
      <c r="I741" s="41"/>
      <c r="J741" s="41"/>
      <c r="K741" s="41"/>
    </row>
    <row r="742" ht="15.75" customHeight="1">
      <c r="I742" s="41"/>
      <c r="J742" s="41"/>
      <c r="K742" s="41"/>
    </row>
    <row r="743" ht="15.75" customHeight="1">
      <c r="I743" s="41"/>
      <c r="J743" s="41"/>
      <c r="K743" s="41"/>
    </row>
    <row r="744" ht="15.75" customHeight="1">
      <c r="I744" s="41"/>
      <c r="J744" s="41"/>
      <c r="K744" s="41"/>
    </row>
    <row r="745" ht="15.75" customHeight="1">
      <c r="I745" s="41"/>
      <c r="J745" s="41"/>
      <c r="K745" s="41"/>
    </row>
    <row r="746" ht="15.75" customHeight="1">
      <c r="I746" s="41"/>
      <c r="J746" s="41"/>
      <c r="K746" s="41"/>
    </row>
    <row r="747" ht="15.75" customHeight="1">
      <c r="I747" s="41"/>
      <c r="J747" s="41"/>
      <c r="K747" s="41"/>
    </row>
    <row r="748" ht="15.75" customHeight="1">
      <c r="I748" s="41"/>
      <c r="J748" s="41"/>
      <c r="K748" s="41"/>
    </row>
    <row r="749" ht="15.75" customHeight="1">
      <c r="I749" s="41"/>
      <c r="J749" s="41"/>
      <c r="K749" s="41"/>
    </row>
    <row r="750" ht="15.75" customHeight="1">
      <c r="I750" s="41"/>
      <c r="J750" s="41"/>
      <c r="K750" s="41"/>
    </row>
    <row r="751" ht="15.75" customHeight="1">
      <c r="I751" s="41"/>
      <c r="J751" s="41"/>
      <c r="K751" s="41"/>
    </row>
    <row r="752" ht="15.75" customHeight="1">
      <c r="I752" s="41"/>
      <c r="J752" s="41"/>
      <c r="K752" s="41"/>
    </row>
    <row r="753" ht="15.75" customHeight="1">
      <c r="I753" s="41"/>
      <c r="J753" s="41"/>
      <c r="K753" s="41"/>
    </row>
    <row r="754" ht="15.75" customHeight="1">
      <c r="I754" s="41"/>
      <c r="J754" s="41"/>
      <c r="K754" s="41"/>
    </row>
    <row r="755" ht="15.75" customHeight="1">
      <c r="I755" s="41"/>
      <c r="J755" s="41"/>
      <c r="K755" s="41"/>
    </row>
    <row r="756" ht="15.75" customHeight="1">
      <c r="I756" s="41"/>
      <c r="J756" s="41"/>
      <c r="K756" s="41"/>
    </row>
    <row r="757" ht="15.75" customHeight="1">
      <c r="I757" s="41"/>
      <c r="J757" s="41"/>
      <c r="K757" s="41"/>
    </row>
    <row r="758" ht="15.75" customHeight="1">
      <c r="I758" s="41"/>
      <c r="J758" s="41"/>
      <c r="K758" s="41"/>
    </row>
    <row r="759" ht="15.75" customHeight="1">
      <c r="I759" s="41"/>
      <c r="J759" s="41"/>
      <c r="K759" s="41"/>
    </row>
    <row r="760" ht="15.75" customHeight="1">
      <c r="I760" s="41"/>
      <c r="J760" s="41"/>
      <c r="K760" s="41"/>
    </row>
    <row r="761" ht="15.75" customHeight="1">
      <c r="I761" s="41"/>
      <c r="J761" s="41"/>
      <c r="K761" s="41"/>
    </row>
    <row r="762" ht="15.75" customHeight="1">
      <c r="I762" s="41"/>
      <c r="J762" s="41"/>
      <c r="K762" s="41"/>
    </row>
    <row r="763" ht="15.75" customHeight="1">
      <c r="I763" s="41"/>
      <c r="J763" s="41"/>
      <c r="K763" s="41"/>
    </row>
    <row r="764" ht="15.75" customHeight="1">
      <c r="I764" s="41"/>
      <c r="J764" s="41"/>
      <c r="K764" s="41"/>
    </row>
    <row r="765" ht="15.75" customHeight="1">
      <c r="I765" s="41"/>
      <c r="J765" s="41"/>
      <c r="K765" s="41"/>
    </row>
    <row r="766" ht="15.75" customHeight="1">
      <c r="I766" s="41"/>
      <c r="J766" s="41"/>
      <c r="K766" s="41"/>
    </row>
    <row r="767" ht="15.75" customHeight="1">
      <c r="I767" s="41"/>
      <c r="J767" s="41"/>
      <c r="K767" s="41"/>
    </row>
    <row r="768" ht="15.75" customHeight="1">
      <c r="I768" s="41"/>
      <c r="J768" s="41"/>
      <c r="K768" s="41"/>
    </row>
    <row r="769" ht="15.75" customHeight="1">
      <c r="I769" s="41"/>
      <c r="J769" s="41"/>
      <c r="K769" s="41"/>
    </row>
    <row r="770" ht="15.75" customHeight="1">
      <c r="I770" s="41"/>
      <c r="J770" s="41"/>
      <c r="K770" s="41"/>
    </row>
    <row r="771" ht="15.75" customHeight="1">
      <c r="I771" s="41"/>
      <c r="J771" s="41"/>
      <c r="K771" s="41"/>
    </row>
    <row r="772" ht="15.75" customHeight="1">
      <c r="I772" s="41"/>
      <c r="J772" s="41"/>
      <c r="K772" s="41"/>
    </row>
    <row r="773" ht="15.75" customHeight="1">
      <c r="I773" s="41"/>
      <c r="J773" s="41"/>
      <c r="K773" s="41"/>
    </row>
    <row r="774" ht="15.75" customHeight="1">
      <c r="I774" s="41"/>
      <c r="J774" s="41"/>
      <c r="K774" s="41"/>
    </row>
    <row r="775" ht="15.75" customHeight="1">
      <c r="I775" s="41"/>
      <c r="J775" s="41"/>
      <c r="K775" s="41"/>
    </row>
    <row r="776" ht="15.75" customHeight="1">
      <c r="I776" s="41"/>
      <c r="J776" s="41"/>
      <c r="K776" s="41"/>
    </row>
    <row r="777" ht="15.75" customHeight="1">
      <c r="I777" s="41"/>
      <c r="J777" s="41"/>
      <c r="K777" s="41"/>
    </row>
    <row r="778" ht="15.75" customHeight="1">
      <c r="I778" s="41"/>
      <c r="J778" s="41"/>
      <c r="K778" s="41"/>
    </row>
    <row r="779" ht="15.75" customHeight="1">
      <c r="I779" s="41"/>
      <c r="J779" s="41"/>
      <c r="K779" s="41"/>
    </row>
    <row r="780" ht="15.75" customHeight="1">
      <c r="I780" s="41"/>
      <c r="J780" s="41"/>
      <c r="K780" s="41"/>
    </row>
    <row r="781" ht="15.75" customHeight="1">
      <c r="I781" s="41"/>
      <c r="J781" s="41"/>
      <c r="K781" s="41"/>
    </row>
    <row r="782" ht="15.75" customHeight="1">
      <c r="I782" s="41"/>
      <c r="J782" s="41"/>
      <c r="K782" s="41"/>
    </row>
    <row r="783" ht="15.75" customHeight="1">
      <c r="I783" s="41"/>
      <c r="J783" s="41"/>
      <c r="K783" s="41"/>
    </row>
    <row r="784" ht="15.75" customHeight="1">
      <c r="I784" s="41"/>
      <c r="J784" s="41"/>
      <c r="K784" s="41"/>
    </row>
    <row r="785" ht="15.75" customHeight="1">
      <c r="I785" s="41"/>
      <c r="J785" s="41"/>
      <c r="K785" s="41"/>
    </row>
    <row r="786" ht="15.75" customHeight="1">
      <c r="I786" s="41"/>
      <c r="J786" s="41"/>
      <c r="K786" s="41"/>
    </row>
    <row r="787" ht="15.75" customHeight="1">
      <c r="I787" s="41"/>
      <c r="J787" s="41"/>
      <c r="K787" s="41"/>
    </row>
    <row r="788" ht="15.75" customHeight="1">
      <c r="I788" s="41"/>
      <c r="J788" s="41"/>
      <c r="K788" s="41"/>
    </row>
    <row r="789" ht="15.75" customHeight="1">
      <c r="I789" s="41"/>
      <c r="J789" s="41"/>
      <c r="K789" s="41"/>
    </row>
    <row r="790" ht="15.75" customHeight="1">
      <c r="I790" s="41"/>
      <c r="J790" s="41"/>
      <c r="K790" s="41"/>
    </row>
    <row r="791" ht="15.75" customHeight="1">
      <c r="I791" s="41"/>
      <c r="J791" s="41"/>
      <c r="K791" s="41"/>
    </row>
    <row r="792" ht="15.75" customHeight="1">
      <c r="I792" s="41"/>
      <c r="J792" s="41"/>
      <c r="K792" s="41"/>
    </row>
    <row r="793" ht="15.75" customHeight="1">
      <c r="I793" s="41"/>
      <c r="J793" s="41"/>
      <c r="K793" s="41"/>
    </row>
    <row r="794" ht="15.75" customHeight="1">
      <c r="I794" s="41"/>
      <c r="J794" s="41"/>
      <c r="K794" s="41"/>
    </row>
    <row r="795" ht="15.75" customHeight="1">
      <c r="I795" s="41"/>
      <c r="J795" s="41"/>
      <c r="K795" s="41"/>
    </row>
    <row r="796" ht="15.75" customHeight="1">
      <c r="I796" s="41"/>
      <c r="J796" s="41"/>
      <c r="K796" s="41"/>
    </row>
    <row r="797" ht="15.75" customHeight="1">
      <c r="I797" s="41"/>
      <c r="J797" s="41"/>
      <c r="K797" s="41"/>
    </row>
    <row r="798" ht="15.75" customHeight="1">
      <c r="I798" s="41"/>
      <c r="J798" s="41"/>
      <c r="K798" s="41"/>
    </row>
    <row r="799" ht="15.75" customHeight="1">
      <c r="I799" s="41"/>
      <c r="J799" s="41"/>
      <c r="K799" s="41"/>
    </row>
    <row r="800" ht="15.75" customHeight="1">
      <c r="I800" s="41"/>
      <c r="J800" s="41"/>
      <c r="K800" s="41"/>
    </row>
    <row r="801" ht="15.75" customHeight="1">
      <c r="I801" s="41"/>
      <c r="J801" s="41"/>
      <c r="K801" s="41"/>
    </row>
    <row r="802" ht="15.75" customHeight="1">
      <c r="I802" s="41"/>
      <c r="J802" s="41"/>
      <c r="K802" s="41"/>
    </row>
    <row r="803" ht="15.75" customHeight="1">
      <c r="I803" s="41"/>
      <c r="J803" s="41"/>
      <c r="K803" s="41"/>
    </row>
    <row r="804" ht="15.75" customHeight="1">
      <c r="I804" s="41"/>
      <c r="J804" s="41"/>
      <c r="K804" s="41"/>
    </row>
    <row r="805" ht="15.75" customHeight="1">
      <c r="I805" s="41"/>
      <c r="J805" s="41"/>
      <c r="K805" s="41"/>
    </row>
    <row r="806" ht="15.75" customHeight="1">
      <c r="I806" s="41"/>
      <c r="J806" s="41"/>
      <c r="K806" s="41"/>
    </row>
    <row r="807" ht="15.75" customHeight="1">
      <c r="I807" s="41"/>
      <c r="J807" s="41"/>
      <c r="K807" s="41"/>
    </row>
    <row r="808" ht="15.75" customHeight="1">
      <c r="I808" s="41"/>
      <c r="J808" s="41"/>
      <c r="K808" s="41"/>
    </row>
    <row r="809" ht="15.75" customHeight="1">
      <c r="I809" s="41"/>
      <c r="J809" s="41"/>
      <c r="K809" s="41"/>
    </row>
    <row r="810" ht="15.75" customHeight="1">
      <c r="I810" s="41"/>
      <c r="J810" s="41"/>
      <c r="K810" s="41"/>
    </row>
    <row r="811" ht="15.75" customHeight="1">
      <c r="I811" s="41"/>
      <c r="J811" s="41"/>
      <c r="K811" s="41"/>
    </row>
    <row r="812" ht="15.75" customHeight="1">
      <c r="I812" s="41"/>
      <c r="J812" s="41"/>
      <c r="K812" s="41"/>
    </row>
    <row r="813" ht="15.75" customHeight="1">
      <c r="I813" s="41"/>
      <c r="J813" s="41"/>
      <c r="K813" s="41"/>
    </row>
    <row r="814" ht="15.75" customHeight="1">
      <c r="I814" s="41"/>
      <c r="J814" s="41"/>
      <c r="K814" s="41"/>
    </row>
    <row r="815" ht="15.75" customHeight="1">
      <c r="I815" s="41"/>
      <c r="J815" s="41"/>
      <c r="K815" s="41"/>
    </row>
    <row r="816" ht="15.75" customHeight="1">
      <c r="I816" s="41"/>
      <c r="J816" s="41"/>
      <c r="K816" s="41"/>
    </row>
    <row r="817" ht="15.75" customHeight="1">
      <c r="I817" s="41"/>
      <c r="J817" s="41"/>
      <c r="K817" s="41"/>
    </row>
    <row r="818" ht="15.75" customHeight="1">
      <c r="I818" s="41"/>
      <c r="J818" s="41"/>
      <c r="K818" s="41"/>
    </row>
    <row r="819" ht="15.75" customHeight="1">
      <c r="I819" s="41"/>
      <c r="J819" s="41"/>
      <c r="K819" s="41"/>
    </row>
    <row r="820" ht="15.75" customHeight="1">
      <c r="I820" s="41"/>
      <c r="J820" s="41"/>
      <c r="K820" s="41"/>
    </row>
    <row r="821" ht="15.75" customHeight="1">
      <c r="I821" s="41"/>
      <c r="J821" s="41"/>
      <c r="K821" s="41"/>
    </row>
    <row r="822" ht="15.75" customHeight="1">
      <c r="I822" s="41"/>
      <c r="J822" s="41"/>
      <c r="K822" s="41"/>
    </row>
    <row r="823" ht="15.75" customHeight="1">
      <c r="I823" s="41"/>
      <c r="J823" s="41"/>
      <c r="K823" s="41"/>
    </row>
    <row r="824" ht="15.75" customHeight="1">
      <c r="I824" s="41"/>
      <c r="J824" s="41"/>
      <c r="K824" s="41"/>
    </row>
    <row r="825" ht="15.75" customHeight="1">
      <c r="I825" s="41"/>
      <c r="J825" s="41"/>
      <c r="K825" s="41"/>
    </row>
    <row r="826" ht="15.75" customHeight="1">
      <c r="I826" s="41"/>
      <c r="J826" s="41"/>
      <c r="K826" s="41"/>
    </row>
    <row r="827" ht="15.75" customHeight="1">
      <c r="I827" s="41"/>
      <c r="J827" s="41"/>
      <c r="K827" s="41"/>
    </row>
    <row r="828" ht="15.75" customHeight="1">
      <c r="I828" s="41"/>
      <c r="J828" s="41"/>
      <c r="K828" s="41"/>
    </row>
    <row r="829" ht="15.75" customHeight="1">
      <c r="I829" s="41"/>
      <c r="J829" s="41"/>
      <c r="K829" s="41"/>
    </row>
    <row r="830" ht="15.75" customHeight="1">
      <c r="I830" s="41"/>
      <c r="J830" s="41"/>
      <c r="K830" s="41"/>
    </row>
    <row r="831" ht="15.75" customHeight="1">
      <c r="I831" s="41"/>
      <c r="J831" s="41"/>
      <c r="K831" s="41"/>
    </row>
    <row r="832" ht="15.75" customHeight="1">
      <c r="I832" s="41"/>
      <c r="J832" s="41"/>
      <c r="K832" s="41"/>
    </row>
    <row r="833" ht="15.75" customHeight="1">
      <c r="I833" s="41"/>
      <c r="J833" s="41"/>
      <c r="K833" s="41"/>
    </row>
    <row r="834" ht="15.75" customHeight="1">
      <c r="I834" s="41"/>
      <c r="J834" s="41"/>
      <c r="K834" s="41"/>
    </row>
    <row r="835" ht="15.75" customHeight="1">
      <c r="I835" s="41"/>
      <c r="J835" s="41"/>
      <c r="K835" s="41"/>
    </row>
    <row r="836" ht="15.75" customHeight="1">
      <c r="I836" s="41"/>
      <c r="J836" s="41"/>
      <c r="K836" s="41"/>
    </row>
    <row r="837" ht="15.75" customHeight="1">
      <c r="I837" s="41"/>
      <c r="J837" s="41"/>
      <c r="K837" s="41"/>
    </row>
    <row r="838" ht="15.75" customHeight="1">
      <c r="I838" s="41"/>
      <c r="J838" s="41"/>
      <c r="K838" s="41"/>
    </row>
    <row r="839" ht="15.75" customHeight="1">
      <c r="I839" s="41"/>
      <c r="J839" s="41"/>
      <c r="K839" s="41"/>
    </row>
    <row r="840" ht="15.75" customHeight="1">
      <c r="I840" s="41"/>
      <c r="J840" s="41"/>
      <c r="K840" s="41"/>
    </row>
    <row r="841" ht="15.75" customHeight="1">
      <c r="I841" s="41"/>
      <c r="J841" s="41"/>
      <c r="K841" s="41"/>
    </row>
    <row r="842" ht="15.75" customHeight="1">
      <c r="I842" s="41"/>
      <c r="J842" s="41"/>
      <c r="K842" s="41"/>
    </row>
    <row r="843" ht="15.75" customHeight="1">
      <c r="I843" s="41"/>
      <c r="J843" s="41"/>
      <c r="K843" s="41"/>
    </row>
    <row r="844" ht="15.75" customHeight="1">
      <c r="I844" s="41"/>
      <c r="J844" s="41"/>
      <c r="K844" s="41"/>
    </row>
    <row r="845" ht="15.75" customHeight="1">
      <c r="I845" s="41"/>
      <c r="J845" s="41"/>
      <c r="K845" s="41"/>
    </row>
    <row r="846" ht="15.75" customHeight="1">
      <c r="I846" s="41"/>
      <c r="J846" s="41"/>
      <c r="K846" s="41"/>
    </row>
    <row r="847" ht="15.75" customHeight="1">
      <c r="I847" s="41"/>
      <c r="J847" s="41"/>
      <c r="K847" s="41"/>
    </row>
    <row r="848" ht="15.75" customHeight="1">
      <c r="I848" s="41"/>
      <c r="J848" s="41"/>
      <c r="K848" s="41"/>
    </row>
    <row r="849" ht="15.75" customHeight="1">
      <c r="I849" s="41"/>
      <c r="J849" s="41"/>
      <c r="K849" s="41"/>
    </row>
    <row r="850" ht="15.75" customHeight="1">
      <c r="I850" s="41"/>
      <c r="J850" s="41"/>
      <c r="K850" s="41"/>
    </row>
    <row r="851" ht="15.75" customHeight="1">
      <c r="I851" s="41"/>
      <c r="J851" s="41"/>
      <c r="K851" s="41"/>
    </row>
    <row r="852" ht="15.75" customHeight="1">
      <c r="I852" s="41"/>
      <c r="J852" s="41"/>
      <c r="K852" s="41"/>
    </row>
    <row r="853" ht="15.75" customHeight="1">
      <c r="I853" s="41"/>
      <c r="J853" s="41"/>
      <c r="K853" s="41"/>
    </row>
    <row r="854" ht="15.75" customHeight="1">
      <c r="I854" s="41"/>
      <c r="J854" s="41"/>
      <c r="K854" s="41"/>
    </row>
    <row r="855" ht="15.75" customHeight="1">
      <c r="I855" s="41"/>
      <c r="J855" s="41"/>
      <c r="K855" s="41"/>
    </row>
    <row r="856" ht="15.75" customHeight="1">
      <c r="I856" s="41"/>
      <c r="J856" s="41"/>
      <c r="K856" s="41"/>
    </row>
    <row r="857" ht="15.75" customHeight="1">
      <c r="I857" s="41"/>
      <c r="J857" s="41"/>
      <c r="K857" s="41"/>
    </row>
    <row r="858" ht="15.75" customHeight="1">
      <c r="I858" s="41"/>
      <c r="J858" s="41"/>
      <c r="K858" s="41"/>
    </row>
    <row r="859" ht="15.75" customHeight="1">
      <c r="I859" s="41"/>
      <c r="J859" s="41"/>
      <c r="K859" s="41"/>
    </row>
    <row r="860" ht="15.75" customHeight="1">
      <c r="I860" s="41"/>
      <c r="J860" s="41"/>
      <c r="K860" s="41"/>
    </row>
    <row r="861" ht="15.75" customHeight="1">
      <c r="I861" s="41"/>
      <c r="J861" s="41"/>
      <c r="K861" s="41"/>
    </row>
    <row r="862" ht="15.75" customHeight="1">
      <c r="I862" s="41"/>
      <c r="J862" s="41"/>
      <c r="K862" s="41"/>
    </row>
    <row r="863" ht="15.75" customHeight="1">
      <c r="I863" s="41"/>
      <c r="J863" s="41"/>
      <c r="K863" s="41"/>
    </row>
    <row r="864" ht="15.75" customHeight="1">
      <c r="I864" s="41"/>
      <c r="J864" s="41"/>
      <c r="K864" s="41"/>
    </row>
    <row r="865" ht="15.75" customHeight="1">
      <c r="I865" s="41"/>
      <c r="J865" s="41"/>
      <c r="K865" s="41"/>
    </row>
    <row r="866" ht="15.75" customHeight="1">
      <c r="I866" s="41"/>
      <c r="J866" s="41"/>
      <c r="K866" s="41"/>
    </row>
    <row r="867" ht="15.75" customHeight="1">
      <c r="I867" s="41"/>
      <c r="J867" s="41"/>
      <c r="K867" s="41"/>
    </row>
    <row r="868" ht="15.75" customHeight="1">
      <c r="I868" s="41"/>
      <c r="J868" s="41"/>
      <c r="K868" s="41"/>
    </row>
    <row r="869" ht="15.75" customHeight="1">
      <c r="I869" s="41"/>
      <c r="J869" s="41"/>
      <c r="K869" s="41"/>
    </row>
    <row r="870" ht="15.75" customHeight="1">
      <c r="I870" s="41"/>
      <c r="J870" s="41"/>
      <c r="K870" s="41"/>
    </row>
    <row r="871" ht="15.75" customHeight="1">
      <c r="I871" s="41"/>
      <c r="J871" s="41"/>
      <c r="K871" s="41"/>
    </row>
    <row r="872" ht="15.75" customHeight="1">
      <c r="I872" s="41"/>
      <c r="J872" s="41"/>
      <c r="K872" s="41"/>
    </row>
    <row r="873" ht="15.75" customHeight="1">
      <c r="I873" s="41"/>
      <c r="J873" s="41"/>
      <c r="K873" s="41"/>
    </row>
    <row r="874" ht="15.75" customHeight="1">
      <c r="I874" s="41"/>
      <c r="J874" s="41"/>
      <c r="K874" s="41"/>
    </row>
    <row r="875" ht="15.75" customHeight="1">
      <c r="I875" s="41"/>
      <c r="J875" s="41"/>
      <c r="K875" s="41"/>
    </row>
    <row r="876" ht="15.75" customHeight="1">
      <c r="I876" s="41"/>
      <c r="J876" s="41"/>
      <c r="K876" s="41"/>
    </row>
    <row r="877" ht="15.75" customHeight="1">
      <c r="I877" s="41"/>
      <c r="J877" s="41"/>
      <c r="K877" s="41"/>
    </row>
    <row r="878" ht="15.75" customHeight="1">
      <c r="I878" s="41"/>
      <c r="J878" s="41"/>
      <c r="K878" s="41"/>
    </row>
    <row r="879" ht="15.75" customHeight="1">
      <c r="I879" s="41"/>
      <c r="J879" s="41"/>
      <c r="K879" s="41"/>
    </row>
    <row r="880" ht="15.75" customHeight="1">
      <c r="I880" s="41"/>
      <c r="J880" s="41"/>
      <c r="K880" s="41"/>
    </row>
    <row r="881" ht="15.75" customHeight="1">
      <c r="I881" s="41"/>
      <c r="J881" s="41"/>
      <c r="K881" s="41"/>
    </row>
    <row r="882" ht="15.75" customHeight="1">
      <c r="I882" s="41"/>
      <c r="J882" s="41"/>
      <c r="K882" s="41"/>
    </row>
    <row r="883" ht="15.75" customHeight="1">
      <c r="I883" s="41"/>
      <c r="J883" s="41"/>
      <c r="K883" s="41"/>
    </row>
    <row r="884" ht="15.75" customHeight="1">
      <c r="I884" s="41"/>
      <c r="J884" s="41"/>
      <c r="K884" s="41"/>
    </row>
    <row r="885" ht="15.75" customHeight="1">
      <c r="I885" s="41"/>
      <c r="J885" s="41"/>
      <c r="K885" s="41"/>
    </row>
    <row r="886" ht="15.75" customHeight="1">
      <c r="I886" s="41"/>
      <c r="J886" s="41"/>
      <c r="K886" s="41"/>
    </row>
    <row r="887" ht="15.75" customHeight="1">
      <c r="I887" s="41"/>
      <c r="J887" s="41"/>
      <c r="K887" s="41"/>
    </row>
    <row r="888" ht="15.75" customHeight="1">
      <c r="I888" s="41"/>
      <c r="J888" s="41"/>
      <c r="K888" s="41"/>
    </row>
    <row r="889" ht="15.75" customHeight="1">
      <c r="I889" s="41"/>
      <c r="J889" s="41"/>
      <c r="K889" s="41"/>
    </row>
    <row r="890" ht="15.75" customHeight="1">
      <c r="I890" s="41"/>
      <c r="J890" s="41"/>
      <c r="K890" s="41"/>
    </row>
    <row r="891" ht="15.75" customHeight="1">
      <c r="I891" s="41"/>
      <c r="J891" s="41"/>
      <c r="K891" s="41"/>
    </row>
    <row r="892" ht="15.75" customHeight="1">
      <c r="I892" s="41"/>
      <c r="J892" s="41"/>
      <c r="K892" s="41"/>
    </row>
    <row r="893" ht="15.75" customHeight="1">
      <c r="I893" s="41"/>
      <c r="J893" s="41"/>
      <c r="K893" s="41"/>
    </row>
    <row r="894" ht="15.75" customHeight="1">
      <c r="I894" s="41"/>
      <c r="J894" s="41"/>
      <c r="K894" s="41"/>
    </row>
    <row r="895" ht="15.75" customHeight="1">
      <c r="I895" s="41"/>
      <c r="J895" s="41"/>
      <c r="K895" s="41"/>
    </row>
    <row r="896" ht="15.75" customHeight="1">
      <c r="I896" s="41"/>
      <c r="J896" s="41"/>
      <c r="K896" s="41"/>
    </row>
    <row r="897" ht="15.75" customHeight="1">
      <c r="I897" s="41"/>
      <c r="J897" s="41"/>
      <c r="K897" s="41"/>
    </row>
    <row r="898" ht="15.75" customHeight="1">
      <c r="I898" s="41"/>
      <c r="J898" s="41"/>
      <c r="K898" s="41"/>
    </row>
    <row r="899" ht="15.75" customHeight="1">
      <c r="I899" s="41"/>
      <c r="J899" s="41"/>
      <c r="K899" s="41"/>
    </row>
    <row r="900" ht="15.75" customHeight="1">
      <c r="I900" s="41"/>
      <c r="J900" s="41"/>
      <c r="K900" s="41"/>
    </row>
    <row r="901" ht="15.75" customHeight="1">
      <c r="I901" s="41"/>
      <c r="J901" s="41"/>
      <c r="K901" s="41"/>
    </row>
    <row r="902" ht="15.75" customHeight="1">
      <c r="I902" s="41"/>
      <c r="J902" s="41"/>
      <c r="K902" s="41"/>
    </row>
    <row r="903" ht="15.75" customHeight="1">
      <c r="I903" s="41"/>
      <c r="J903" s="41"/>
      <c r="K903" s="41"/>
    </row>
    <row r="904" ht="15.75" customHeight="1">
      <c r="I904" s="41"/>
      <c r="J904" s="41"/>
      <c r="K904" s="41"/>
    </row>
    <row r="905" ht="15.75" customHeight="1">
      <c r="I905" s="41"/>
      <c r="J905" s="41"/>
      <c r="K905" s="41"/>
    </row>
    <row r="906" ht="15.75" customHeight="1">
      <c r="I906" s="41"/>
      <c r="J906" s="41"/>
      <c r="K906" s="41"/>
    </row>
    <row r="907" ht="15.75" customHeight="1">
      <c r="I907" s="41"/>
      <c r="J907" s="41"/>
      <c r="K907" s="41"/>
    </row>
    <row r="908" ht="15.75" customHeight="1">
      <c r="I908" s="41"/>
      <c r="J908" s="41"/>
      <c r="K908" s="41"/>
    </row>
    <row r="909" ht="15.75" customHeight="1">
      <c r="I909" s="41"/>
      <c r="J909" s="41"/>
      <c r="K909" s="41"/>
    </row>
    <row r="910" ht="15.75" customHeight="1">
      <c r="I910" s="41"/>
      <c r="J910" s="41"/>
      <c r="K910" s="41"/>
    </row>
    <row r="911" ht="15.75" customHeight="1">
      <c r="I911" s="41"/>
      <c r="J911" s="41"/>
      <c r="K911" s="41"/>
    </row>
    <row r="912" ht="15.75" customHeight="1">
      <c r="I912" s="41"/>
      <c r="J912" s="41"/>
      <c r="K912" s="41"/>
    </row>
    <row r="913" ht="15.75" customHeight="1">
      <c r="I913" s="41"/>
      <c r="J913" s="41"/>
      <c r="K913" s="41"/>
    </row>
    <row r="914" ht="15.75" customHeight="1">
      <c r="I914" s="41"/>
      <c r="J914" s="41"/>
      <c r="K914" s="41"/>
    </row>
    <row r="915" ht="15.75" customHeight="1">
      <c r="I915" s="41"/>
      <c r="J915" s="41"/>
      <c r="K915" s="41"/>
    </row>
    <row r="916" ht="15.75" customHeight="1">
      <c r="I916" s="41"/>
      <c r="J916" s="41"/>
      <c r="K916" s="41"/>
    </row>
    <row r="917" ht="15.75" customHeight="1">
      <c r="I917" s="41"/>
      <c r="J917" s="41"/>
      <c r="K917" s="41"/>
    </row>
    <row r="918" ht="15.75" customHeight="1">
      <c r="I918" s="41"/>
      <c r="J918" s="41"/>
      <c r="K918" s="41"/>
    </row>
    <row r="919" ht="15.75" customHeight="1">
      <c r="I919" s="41"/>
      <c r="J919" s="41"/>
      <c r="K919" s="41"/>
    </row>
    <row r="920" ht="15.75" customHeight="1">
      <c r="I920" s="41"/>
      <c r="J920" s="41"/>
      <c r="K920" s="41"/>
    </row>
    <row r="921" ht="15.75" customHeight="1">
      <c r="I921" s="41"/>
      <c r="J921" s="41"/>
      <c r="K921" s="41"/>
    </row>
    <row r="922" ht="15.75" customHeight="1">
      <c r="I922" s="41"/>
      <c r="J922" s="41"/>
      <c r="K922" s="41"/>
    </row>
    <row r="923" ht="15.75" customHeight="1">
      <c r="I923" s="41"/>
      <c r="J923" s="41"/>
      <c r="K923" s="41"/>
    </row>
    <row r="924" ht="15.75" customHeight="1">
      <c r="I924" s="41"/>
      <c r="J924" s="41"/>
      <c r="K924" s="41"/>
    </row>
    <row r="925" ht="15.75" customHeight="1">
      <c r="I925" s="41"/>
      <c r="J925" s="41"/>
      <c r="K925" s="41"/>
    </row>
    <row r="926" ht="15.75" customHeight="1">
      <c r="I926" s="41"/>
      <c r="J926" s="41"/>
      <c r="K926" s="41"/>
    </row>
    <row r="927" ht="15.75" customHeight="1">
      <c r="I927" s="41"/>
      <c r="J927" s="41"/>
      <c r="K927" s="41"/>
    </row>
    <row r="928" ht="15.75" customHeight="1">
      <c r="I928" s="41"/>
      <c r="J928" s="41"/>
      <c r="K928" s="41"/>
    </row>
    <row r="929" ht="15.75" customHeight="1">
      <c r="I929" s="41"/>
      <c r="J929" s="41"/>
      <c r="K929" s="41"/>
    </row>
    <row r="930" ht="15.75" customHeight="1">
      <c r="I930" s="41"/>
      <c r="J930" s="41"/>
      <c r="K930" s="41"/>
    </row>
    <row r="931" ht="15.75" customHeight="1">
      <c r="I931" s="41"/>
      <c r="J931" s="41"/>
      <c r="K931" s="41"/>
    </row>
    <row r="932" ht="15.75" customHeight="1">
      <c r="I932" s="41"/>
      <c r="J932" s="41"/>
      <c r="K932" s="41"/>
    </row>
    <row r="933" ht="15.75" customHeight="1">
      <c r="I933" s="41"/>
      <c r="J933" s="41"/>
      <c r="K933" s="41"/>
    </row>
    <row r="934" ht="15.75" customHeight="1">
      <c r="I934" s="41"/>
      <c r="J934" s="41"/>
      <c r="K934" s="41"/>
    </row>
    <row r="935" ht="15.75" customHeight="1">
      <c r="I935" s="41"/>
      <c r="J935" s="41"/>
      <c r="K935" s="41"/>
    </row>
    <row r="936" ht="15.75" customHeight="1">
      <c r="I936" s="41"/>
      <c r="J936" s="41"/>
      <c r="K936" s="41"/>
    </row>
    <row r="937" ht="15.75" customHeight="1">
      <c r="I937" s="41"/>
      <c r="J937" s="41"/>
      <c r="K937" s="41"/>
    </row>
    <row r="938" ht="15.75" customHeight="1">
      <c r="I938" s="41"/>
      <c r="J938" s="41"/>
      <c r="K938" s="41"/>
    </row>
    <row r="939" ht="15.75" customHeight="1">
      <c r="I939" s="41"/>
      <c r="J939" s="41"/>
      <c r="K939" s="41"/>
    </row>
    <row r="940" ht="15.75" customHeight="1">
      <c r="I940" s="41"/>
      <c r="J940" s="41"/>
      <c r="K940" s="41"/>
    </row>
    <row r="941" ht="15.75" customHeight="1">
      <c r="I941" s="41"/>
      <c r="J941" s="41"/>
      <c r="K941" s="41"/>
    </row>
    <row r="942" ht="15.75" customHeight="1">
      <c r="I942" s="41"/>
      <c r="J942" s="41"/>
      <c r="K942" s="41"/>
    </row>
    <row r="943" ht="15.75" customHeight="1">
      <c r="I943" s="41"/>
      <c r="J943" s="41"/>
      <c r="K943" s="41"/>
    </row>
    <row r="944" ht="15.75" customHeight="1">
      <c r="I944" s="41"/>
      <c r="J944" s="41"/>
      <c r="K944" s="41"/>
    </row>
    <row r="945" ht="15.75" customHeight="1">
      <c r="I945" s="41"/>
      <c r="J945" s="41"/>
      <c r="K945" s="41"/>
    </row>
    <row r="946" ht="15.75" customHeight="1">
      <c r="I946" s="41"/>
      <c r="J946" s="41"/>
      <c r="K946" s="41"/>
    </row>
    <row r="947" ht="15.75" customHeight="1">
      <c r="I947" s="41"/>
      <c r="J947" s="41"/>
      <c r="K947" s="41"/>
    </row>
    <row r="948" ht="15.75" customHeight="1">
      <c r="I948" s="41"/>
      <c r="J948" s="41"/>
      <c r="K948" s="41"/>
    </row>
    <row r="949" ht="15.75" customHeight="1">
      <c r="I949" s="41"/>
      <c r="J949" s="41"/>
      <c r="K949" s="41"/>
    </row>
    <row r="950" ht="15.75" customHeight="1">
      <c r="I950" s="41"/>
      <c r="J950" s="41"/>
      <c r="K950" s="41"/>
    </row>
    <row r="951" ht="15.75" customHeight="1">
      <c r="I951" s="41"/>
      <c r="J951" s="41"/>
      <c r="K951" s="41"/>
    </row>
    <row r="952" ht="15.75" customHeight="1">
      <c r="I952" s="41"/>
      <c r="J952" s="41"/>
      <c r="K952" s="41"/>
    </row>
    <row r="953" ht="15.75" customHeight="1">
      <c r="I953" s="41"/>
      <c r="J953" s="41"/>
      <c r="K953" s="41"/>
    </row>
    <row r="954" ht="15.75" customHeight="1">
      <c r="I954" s="41"/>
      <c r="J954" s="41"/>
      <c r="K954" s="41"/>
    </row>
    <row r="955" ht="15.75" customHeight="1">
      <c r="I955" s="41"/>
      <c r="J955" s="41"/>
      <c r="K955" s="41"/>
    </row>
    <row r="956" ht="15.75" customHeight="1">
      <c r="I956" s="41"/>
      <c r="J956" s="41"/>
      <c r="K956" s="41"/>
    </row>
    <row r="957" ht="15.75" customHeight="1">
      <c r="I957" s="41"/>
      <c r="J957" s="41"/>
      <c r="K957" s="41"/>
    </row>
    <row r="958" ht="15.75" customHeight="1">
      <c r="I958" s="41"/>
      <c r="J958" s="41"/>
      <c r="K958" s="41"/>
    </row>
    <row r="959" ht="15.75" customHeight="1">
      <c r="I959" s="41"/>
      <c r="J959" s="41"/>
      <c r="K959" s="41"/>
    </row>
    <row r="960" ht="15.75" customHeight="1">
      <c r="I960" s="41"/>
      <c r="J960" s="41"/>
      <c r="K960" s="41"/>
    </row>
    <row r="961" ht="15.75" customHeight="1">
      <c r="I961" s="41"/>
      <c r="J961" s="41"/>
      <c r="K961" s="41"/>
    </row>
    <row r="962" ht="15.75" customHeight="1">
      <c r="I962" s="41"/>
      <c r="J962" s="41"/>
      <c r="K962" s="41"/>
    </row>
    <row r="963" ht="15.75" customHeight="1">
      <c r="I963" s="41"/>
      <c r="J963" s="41"/>
      <c r="K963" s="41"/>
    </row>
    <row r="964" ht="15.75" customHeight="1">
      <c r="I964" s="41"/>
      <c r="J964" s="41"/>
      <c r="K964" s="41"/>
    </row>
    <row r="965" ht="15.75" customHeight="1">
      <c r="I965" s="41"/>
      <c r="J965" s="41"/>
      <c r="K965" s="41"/>
    </row>
    <row r="966" ht="15.75" customHeight="1">
      <c r="I966" s="41"/>
      <c r="J966" s="41"/>
      <c r="K966" s="41"/>
    </row>
    <row r="967" ht="15.75" customHeight="1">
      <c r="I967" s="41"/>
      <c r="J967" s="41"/>
      <c r="K967" s="41"/>
    </row>
    <row r="968" ht="15.75" customHeight="1">
      <c r="I968" s="41"/>
      <c r="J968" s="41"/>
      <c r="K968" s="41"/>
    </row>
    <row r="969" ht="15.75" customHeight="1">
      <c r="I969" s="41"/>
      <c r="J969" s="41"/>
      <c r="K969" s="41"/>
    </row>
    <row r="970" ht="15.75" customHeight="1">
      <c r="I970" s="41"/>
      <c r="J970" s="41"/>
      <c r="K970" s="41"/>
    </row>
    <row r="971" ht="15.75" customHeight="1">
      <c r="I971" s="41"/>
      <c r="J971" s="41"/>
      <c r="K971" s="41"/>
    </row>
    <row r="972" ht="15.75" customHeight="1">
      <c r="I972" s="41"/>
      <c r="J972" s="41"/>
      <c r="K972" s="41"/>
    </row>
    <row r="973" ht="15.75" customHeight="1">
      <c r="I973" s="41"/>
      <c r="J973" s="41"/>
      <c r="K973" s="41"/>
    </row>
    <row r="974" ht="15.75" customHeight="1">
      <c r="I974" s="41"/>
      <c r="J974" s="41"/>
      <c r="K974" s="41"/>
    </row>
    <row r="975" ht="15.75" customHeight="1">
      <c r="I975" s="41"/>
      <c r="J975" s="41"/>
      <c r="K975" s="41"/>
    </row>
    <row r="976" ht="15.75" customHeight="1">
      <c r="I976" s="41"/>
      <c r="J976" s="41"/>
      <c r="K976" s="41"/>
    </row>
    <row r="977" ht="15.75" customHeight="1">
      <c r="I977" s="41"/>
      <c r="J977" s="41"/>
      <c r="K977" s="41"/>
    </row>
    <row r="978" ht="15.75" customHeight="1">
      <c r="I978" s="41"/>
      <c r="J978" s="41"/>
      <c r="K978" s="41"/>
    </row>
    <row r="979" ht="15.75" customHeight="1">
      <c r="I979" s="41"/>
      <c r="J979" s="41"/>
      <c r="K979" s="41"/>
    </row>
    <row r="980" ht="15.75" customHeight="1">
      <c r="I980" s="41"/>
      <c r="J980" s="41"/>
      <c r="K980" s="41"/>
    </row>
    <row r="981" ht="15.75" customHeight="1">
      <c r="I981" s="41"/>
      <c r="J981" s="41"/>
      <c r="K981" s="41"/>
    </row>
    <row r="982" ht="15.75" customHeight="1">
      <c r="I982" s="41"/>
      <c r="J982" s="41"/>
      <c r="K982" s="41"/>
    </row>
    <row r="983" ht="15.75" customHeight="1">
      <c r="I983" s="41"/>
      <c r="J983" s="41"/>
      <c r="K983" s="41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1">
      <c r="A1" s="43" t="str">
        <f>IFERROR(__xludf.DUMMYFUNCTION("QUERY(
  Sheet1!C:H,
  ""select C, min(H), count(C), min(E), min(F), min(G), min(D)
   where C &lt;&gt; ''
   group by C order by min(G),  min(H)
   label min(H) 'رقم المستوى', count(C) 'عدد التلاميذ', min(E) 'المؤطرة 1', min(F) 'المؤطرة 2', min(G) 'اليوم', min"&amp;"(D) 'رقم القاعة'"",
  1
)"),"اسم المستوى")</f>
        <v>اسم المستوى</v>
      </c>
      <c r="B1" s="43" t="str">
        <f>IFERROR(__xludf.DUMMYFUNCTION("""COMPUTED_VALUE"""),"رقم المستوى")</f>
        <v>رقم المستوى</v>
      </c>
      <c r="C1" s="43" t="str">
        <f>IFERROR(__xludf.DUMMYFUNCTION("""COMPUTED_VALUE"""),"عدد التلاميذ")</f>
        <v>عدد التلاميذ</v>
      </c>
      <c r="D1" s="43" t="str">
        <f>IFERROR(__xludf.DUMMYFUNCTION("""COMPUTED_VALUE"""),"المؤطرة 1")</f>
        <v>المؤطرة 1</v>
      </c>
      <c r="E1" s="43" t="str">
        <f>IFERROR(__xludf.DUMMYFUNCTION("""COMPUTED_VALUE"""),"المؤطرة 2")</f>
        <v>المؤطرة 2</v>
      </c>
      <c r="F1" s="43" t="str">
        <f>IFERROR(__xludf.DUMMYFUNCTION("""COMPUTED_VALUE"""),"اليوم")</f>
        <v>اليوم</v>
      </c>
      <c r="G1" s="43" t="str">
        <f>IFERROR(__xludf.DUMMYFUNCTION("""COMPUTED_VALUE"""),"رقم القاعة")</f>
        <v>رقم القاعة</v>
      </c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45" t="str">
        <f>IFERROR(__xludf.DUMMYFUNCTION("""COMPUTED_VALUE"""),"كتاكيت الامل 1")</f>
        <v>كتاكيت الامل 1</v>
      </c>
      <c r="B2" s="46">
        <f>IFERROR(__xludf.DUMMYFUNCTION("""COMPUTED_VALUE"""),0.0)</f>
        <v>0</v>
      </c>
      <c r="C2" s="45">
        <f>IFERROR(__xludf.DUMMYFUNCTION("""COMPUTED_VALUE"""),14.0)</f>
        <v>14</v>
      </c>
      <c r="D2" s="46" t="str">
        <f>IFERROR(__xludf.DUMMYFUNCTION("""COMPUTED_VALUE"""),"ناديا هوكا")</f>
        <v>ناديا هوكا</v>
      </c>
      <c r="E2" s="46" t="str">
        <f>IFERROR(__xludf.DUMMYFUNCTION("""COMPUTED_VALUE"""),"سعيدة لمسهل")</f>
        <v>سعيدة لمسهل</v>
      </c>
      <c r="F2" s="44" t="str">
        <f>IFERROR(__xludf.DUMMYFUNCTION("""COMPUTED_VALUE"""),"الأربعاء")</f>
        <v>الأربعاء</v>
      </c>
      <c r="G2" s="44">
        <f>IFERROR(__xludf.DUMMYFUNCTION("""COMPUTED_VALUE"""),3.0)</f>
        <v>3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46" t="str">
        <f>IFERROR(__xludf.DUMMYFUNCTION("""COMPUTED_VALUE"""),"براعم الامل 1")</f>
        <v>براعم الامل 1</v>
      </c>
      <c r="B3" s="46">
        <f>IFERROR(__xludf.DUMMYFUNCTION("""COMPUTED_VALUE"""),1.0)</f>
        <v>1</v>
      </c>
      <c r="C3" s="45">
        <f>IFERROR(__xludf.DUMMYFUNCTION("""COMPUTED_VALUE"""),9.0)</f>
        <v>9</v>
      </c>
      <c r="D3" s="46" t="str">
        <f>IFERROR(__xludf.DUMMYFUNCTION("""COMPUTED_VALUE"""),"سعاد شاوليض")</f>
        <v>سعاد شاوليض</v>
      </c>
      <c r="E3" s="46"/>
      <c r="F3" s="44" t="str">
        <f>IFERROR(__xludf.DUMMYFUNCTION("""COMPUTED_VALUE"""),"الأربعاء")</f>
        <v>الأربعاء</v>
      </c>
      <c r="G3" s="44">
        <f>IFERROR(__xludf.DUMMYFUNCTION("""COMPUTED_VALUE"""),5.0)</f>
        <v>5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46" t="str">
        <f>IFERROR(__xludf.DUMMYFUNCTION("""COMPUTED_VALUE"""),"براعم الامل 2")</f>
        <v>براعم الامل 2</v>
      </c>
      <c r="B4" s="46">
        <f>IFERROR(__xludf.DUMMYFUNCTION("""COMPUTED_VALUE"""),1.0)</f>
        <v>1</v>
      </c>
      <c r="C4" s="46">
        <f>IFERROR(__xludf.DUMMYFUNCTION("""COMPUTED_VALUE"""),7.0)</f>
        <v>7</v>
      </c>
      <c r="D4" s="46" t="str">
        <f>IFERROR(__xludf.DUMMYFUNCTION("""COMPUTED_VALUE"""),"أسماء بنمبروك")</f>
        <v>أسماء بنمبروك</v>
      </c>
      <c r="E4" s="46" t="str">
        <f>IFERROR(__xludf.DUMMYFUNCTION("""COMPUTED_VALUE"""),"هدى الجعفري")</f>
        <v>هدى الجعفري</v>
      </c>
      <c r="F4" s="44" t="str">
        <f>IFERROR(__xludf.DUMMYFUNCTION("""COMPUTED_VALUE"""),"الأربعاء")</f>
        <v>الأربعاء</v>
      </c>
      <c r="G4" s="44">
        <f>IFERROR(__xludf.DUMMYFUNCTION("""COMPUTED_VALUE"""),6.0)</f>
        <v>6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46" t="str">
        <f>IFERROR(__xludf.DUMMYFUNCTION("""COMPUTED_VALUE"""),"اشبال الامل 1")</f>
        <v>اشبال الامل 1</v>
      </c>
      <c r="B5" s="46">
        <f>IFERROR(__xludf.DUMMYFUNCTION("""COMPUTED_VALUE"""),2.0)</f>
        <v>2</v>
      </c>
      <c r="C5" s="46">
        <f>IFERROR(__xludf.DUMMYFUNCTION("""COMPUTED_VALUE"""),9.0)</f>
        <v>9</v>
      </c>
      <c r="D5" s="46" t="str">
        <f>IFERROR(__xludf.DUMMYFUNCTION("""COMPUTED_VALUE"""),"نعيمة واحي")</f>
        <v>نعيمة واحي</v>
      </c>
      <c r="E5" s="46" t="str">
        <f>IFERROR(__xludf.DUMMYFUNCTION("""COMPUTED_VALUE"""),"أمينة باني")</f>
        <v>أمينة باني</v>
      </c>
      <c r="F5" s="44" t="str">
        <f>IFERROR(__xludf.DUMMYFUNCTION("""COMPUTED_VALUE"""),"الأربعاء")</f>
        <v>الأربعاء</v>
      </c>
      <c r="G5" s="44">
        <f>IFERROR(__xludf.DUMMYFUNCTION("""COMPUTED_VALUE"""),1.0)</f>
        <v>1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46" t="str">
        <f>IFERROR(__xludf.DUMMYFUNCTION("""COMPUTED_VALUE"""),"اشبال الامل 2")</f>
        <v>اشبال الامل 2</v>
      </c>
      <c r="B6" s="46">
        <f>IFERROR(__xludf.DUMMYFUNCTION("""COMPUTED_VALUE"""),2.0)</f>
        <v>2</v>
      </c>
      <c r="C6" s="46">
        <f>IFERROR(__xludf.DUMMYFUNCTION("""COMPUTED_VALUE"""),10.0)</f>
        <v>10</v>
      </c>
      <c r="D6" s="46" t="str">
        <f>IFERROR(__xludf.DUMMYFUNCTION("""COMPUTED_VALUE"""),"مها كسيكس")</f>
        <v>مها كسيكس</v>
      </c>
      <c r="E6" s="46" t="str">
        <f>IFERROR(__xludf.DUMMYFUNCTION("""COMPUTED_VALUE"""),"ايمان بنزاكور")</f>
        <v>ايمان بنزاكور</v>
      </c>
      <c r="F6" s="44" t="str">
        <f>IFERROR(__xludf.DUMMYFUNCTION("""COMPUTED_VALUE"""),"الأربعاء")</f>
        <v>الأربعاء</v>
      </c>
      <c r="G6" s="44">
        <f>IFERROR(__xludf.DUMMYFUNCTION("""COMPUTED_VALUE"""),2.0)</f>
        <v>2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6" t="str">
        <f>IFERROR(__xludf.DUMMYFUNCTION("""COMPUTED_VALUE"""),"أجيال الامل 1")</f>
        <v>أجيال الامل 1</v>
      </c>
      <c r="B7" s="46">
        <f>IFERROR(__xludf.DUMMYFUNCTION("""COMPUTED_VALUE"""),3.0)</f>
        <v>3</v>
      </c>
      <c r="C7" s="46">
        <f>IFERROR(__xludf.DUMMYFUNCTION("""COMPUTED_VALUE"""),6.0)</f>
        <v>6</v>
      </c>
      <c r="D7" s="46" t="str">
        <f>IFERROR(__xludf.DUMMYFUNCTION("""COMPUTED_VALUE"""),"أمينة امركي")</f>
        <v>أمينة امركي</v>
      </c>
      <c r="E7" s="46"/>
      <c r="F7" s="44" t="str">
        <f>IFERROR(__xludf.DUMMYFUNCTION("""COMPUTED_VALUE"""),"الأربعاء")</f>
        <v>الأربعاء</v>
      </c>
      <c r="G7" s="44">
        <f>IFERROR(__xludf.DUMMYFUNCTION("""COMPUTED_VALUE"""),4.0)</f>
        <v>4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46" t="str">
        <f>IFERROR(__xludf.DUMMYFUNCTION("""COMPUTED_VALUE"""),"براعم الامل 3")</f>
        <v>براعم الامل 3</v>
      </c>
      <c r="B8" s="46">
        <f>IFERROR(__xludf.DUMMYFUNCTION("""COMPUTED_VALUE"""),1.0)</f>
        <v>1</v>
      </c>
      <c r="C8" s="46">
        <f>IFERROR(__xludf.DUMMYFUNCTION("""COMPUTED_VALUE"""),12.0)</f>
        <v>12</v>
      </c>
      <c r="D8" s="46" t="str">
        <f>IFERROR(__xludf.DUMMYFUNCTION("""COMPUTED_VALUE"""),"عزيزة الخياري")</f>
        <v>عزيزة الخياري</v>
      </c>
      <c r="E8" s="46" t="str">
        <f>IFERROR(__xludf.DUMMYFUNCTION("""COMPUTED_VALUE"""),"ماجدة الزيتوني")</f>
        <v>ماجدة الزيتوني</v>
      </c>
      <c r="F8" s="44" t="str">
        <f>IFERROR(__xludf.DUMMYFUNCTION("""COMPUTED_VALUE"""),"السبت")</f>
        <v>السبت</v>
      </c>
      <c r="G8" s="44">
        <f>IFERROR(__xludf.DUMMYFUNCTION("""COMPUTED_VALUE"""),3.0)</f>
        <v>3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46" t="str">
        <f>IFERROR(__xludf.DUMMYFUNCTION("""COMPUTED_VALUE"""),"براعم الامل 4")</f>
        <v>براعم الامل 4</v>
      </c>
      <c r="B9" s="46">
        <f>IFERROR(__xludf.DUMMYFUNCTION("""COMPUTED_VALUE"""),1.0)</f>
        <v>1</v>
      </c>
      <c r="C9" s="46">
        <f>IFERROR(__xludf.DUMMYFUNCTION("""COMPUTED_VALUE"""),12.0)</f>
        <v>12</v>
      </c>
      <c r="D9" s="46" t="str">
        <f>IFERROR(__xludf.DUMMYFUNCTION("""COMPUTED_VALUE"""),"لطيفة ادرموش")</f>
        <v>لطيفة ادرموش</v>
      </c>
      <c r="E9" s="46" t="str">
        <f>IFERROR(__xludf.DUMMYFUNCTION("""COMPUTED_VALUE"""),"حليمة بوزحيف")</f>
        <v>حليمة بوزحيف</v>
      </c>
      <c r="F9" s="44" t="str">
        <f>IFERROR(__xludf.DUMMYFUNCTION("""COMPUTED_VALUE"""),"السبت")</f>
        <v>السبت</v>
      </c>
      <c r="G9" s="44">
        <f>IFERROR(__xludf.DUMMYFUNCTION("""COMPUTED_VALUE"""),2.0)</f>
        <v>2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46" t="str">
        <f>IFERROR(__xludf.DUMMYFUNCTION("""COMPUTED_VALUE"""),"براعم الامل 5")</f>
        <v>براعم الامل 5</v>
      </c>
      <c r="B10" s="46">
        <f>IFERROR(__xludf.DUMMYFUNCTION("""COMPUTED_VALUE"""),1.0)</f>
        <v>1</v>
      </c>
      <c r="C10" s="46">
        <f>IFERROR(__xludf.DUMMYFUNCTION("""COMPUTED_VALUE"""),10.0)</f>
        <v>10</v>
      </c>
      <c r="D10" s="46" t="str">
        <f>IFERROR(__xludf.DUMMYFUNCTION("""COMPUTED_VALUE"""),"شمس الدين زهرة")</f>
        <v>شمس الدين زهرة</v>
      </c>
      <c r="E10" s="46" t="str">
        <f>IFERROR(__xludf.DUMMYFUNCTION("""COMPUTED_VALUE"""),"غزلان اباضة")</f>
        <v>غزلان اباضة</v>
      </c>
      <c r="F10" s="44" t="str">
        <f>IFERROR(__xludf.DUMMYFUNCTION("""COMPUTED_VALUE"""),"السبت")</f>
        <v>السبت</v>
      </c>
      <c r="G10" s="44">
        <f>IFERROR(__xludf.DUMMYFUNCTION("""COMPUTED_VALUE"""),4.0)</f>
        <v>4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46" t="str">
        <f>IFERROR(__xludf.DUMMYFUNCTION("""COMPUTED_VALUE"""),"اشبال الامل 3")</f>
        <v>اشبال الامل 3</v>
      </c>
      <c r="B11" s="46">
        <f>IFERROR(__xludf.DUMMYFUNCTION("""COMPUTED_VALUE"""),2.0)</f>
        <v>2</v>
      </c>
      <c r="C11" s="46">
        <f>IFERROR(__xludf.DUMMYFUNCTION("""COMPUTED_VALUE"""),11.0)</f>
        <v>11</v>
      </c>
      <c r="D11" s="46" t="str">
        <f>IFERROR(__xludf.DUMMYFUNCTION("""COMPUTED_VALUE"""),"نادية الحسناوي")</f>
        <v>نادية الحسناوي</v>
      </c>
      <c r="E11" s="46" t="str">
        <f>IFERROR(__xludf.DUMMYFUNCTION("""COMPUTED_VALUE"""),"ريم بلمامون")</f>
        <v>ريم بلمامون</v>
      </c>
      <c r="F11" s="44" t="str">
        <f>IFERROR(__xludf.DUMMYFUNCTION("""COMPUTED_VALUE"""),"السبت")</f>
        <v>السبت</v>
      </c>
      <c r="G11" s="44">
        <f>IFERROR(__xludf.DUMMYFUNCTION("""COMPUTED_VALUE"""),5.0)</f>
        <v>5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6" t="str">
        <f>IFERROR(__xludf.DUMMYFUNCTION("""COMPUTED_VALUE"""),"اشبال الامل 4")</f>
        <v>اشبال الامل 4</v>
      </c>
      <c r="B12" s="46">
        <f>IFERROR(__xludf.DUMMYFUNCTION("""COMPUTED_VALUE"""),2.0)</f>
        <v>2</v>
      </c>
      <c r="C12" s="46">
        <f>IFERROR(__xludf.DUMMYFUNCTION("""COMPUTED_VALUE"""),12.0)</f>
        <v>12</v>
      </c>
      <c r="D12" s="46" t="str">
        <f>IFERROR(__xludf.DUMMYFUNCTION("""COMPUTED_VALUE"""),"دنيا الزوبير")</f>
        <v>دنيا الزوبير</v>
      </c>
      <c r="E12" s="46" t="str">
        <f>IFERROR(__xludf.DUMMYFUNCTION("""COMPUTED_VALUE"""),"حبيبة بنودة")</f>
        <v>حبيبة بنودة</v>
      </c>
      <c r="F12" s="44" t="str">
        <f>IFERROR(__xludf.DUMMYFUNCTION("""COMPUTED_VALUE"""),"السبت")</f>
        <v>السبت</v>
      </c>
      <c r="G12" s="44">
        <f>IFERROR(__xludf.DUMMYFUNCTION("""COMPUTED_VALUE"""),1.0)</f>
        <v>1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46" t="str">
        <f>IFERROR(__xludf.DUMMYFUNCTION("""COMPUTED_VALUE"""),"اشبال الامل 5")</f>
        <v>اشبال الامل 5</v>
      </c>
      <c r="B13" s="46">
        <f>IFERROR(__xludf.DUMMYFUNCTION("""COMPUTED_VALUE"""),2.0)</f>
        <v>2</v>
      </c>
      <c r="C13" s="46">
        <f>IFERROR(__xludf.DUMMYFUNCTION("""COMPUTED_VALUE"""),11.0)</f>
        <v>11</v>
      </c>
      <c r="D13" s="46" t="str">
        <f>IFERROR(__xludf.DUMMYFUNCTION("""COMPUTED_VALUE"""),"هدى بنسايح")</f>
        <v>هدى بنسايح</v>
      </c>
      <c r="E13" s="46" t="str">
        <f>IFERROR(__xludf.DUMMYFUNCTION("""COMPUTED_VALUE"""),"بهيجة دريكي")</f>
        <v>بهيجة دريكي</v>
      </c>
      <c r="F13" s="44" t="str">
        <f>IFERROR(__xludf.DUMMYFUNCTION("""COMPUTED_VALUE"""),"السبت")</f>
        <v>السبت</v>
      </c>
      <c r="G13" s="44">
        <f>IFERROR(__xludf.DUMMYFUNCTION("""COMPUTED_VALUE"""),6.0)</f>
        <v>6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46" t="str">
        <f>IFERROR(__xludf.DUMMYFUNCTION("""COMPUTED_VALUE"""),"أجيال الامل 2")</f>
        <v>أجيال الامل 2</v>
      </c>
      <c r="B14" s="46">
        <f>IFERROR(__xludf.DUMMYFUNCTION("""COMPUTED_VALUE"""),3.0)</f>
        <v>3</v>
      </c>
      <c r="C14" s="46">
        <f>IFERROR(__xludf.DUMMYFUNCTION("""COMPUTED_VALUE"""),14.0)</f>
        <v>14</v>
      </c>
      <c r="D14" s="46" t="str">
        <f>IFERROR(__xludf.DUMMYFUNCTION("""COMPUTED_VALUE"""),"مريم التريدي")</f>
        <v>مريم التريدي</v>
      </c>
      <c r="E14" s="46" t="str">
        <f>IFERROR(__xludf.DUMMYFUNCTION("""COMPUTED_VALUE"""),"فاطمة الزهراء حلماوي")</f>
        <v>فاطمة الزهراء حلماوي</v>
      </c>
      <c r="F14" s="44" t="str">
        <f>IFERROR(__xludf.DUMMYFUNCTION("""COMPUTED_VALUE"""),"السبت")</f>
        <v>السبت</v>
      </c>
      <c r="G14" s="44">
        <f>IFERROR(__xludf.DUMMYFUNCTION("""COMPUTED_VALUE"""),9.0)</f>
        <v>9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46" t="str">
        <f>IFERROR(__xludf.DUMMYFUNCTION("""COMPUTED_VALUE"""),"أجيال الامل 3")</f>
        <v>أجيال الامل 3</v>
      </c>
      <c r="B15" s="46">
        <f>IFERROR(__xludf.DUMMYFUNCTION("""COMPUTED_VALUE"""),3.0)</f>
        <v>3</v>
      </c>
      <c r="C15" s="46">
        <f>IFERROR(__xludf.DUMMYFUNCTION("""COMPUTED_VALUE"""),13.0)</f>
        <v>13</v>
      </c>
      <c r="D15" s="46" t="str">
        <f>IFERROR(__xludf.DUMMYFUNCTION("""COMPUTED_VALUE"""),"حنان المالكي")</f>
        <v>حنان المالكي</v>
      </c>
      <c r="E15" s="46" t="str">
        <f>IFERROR(__xludf.DUMMYFUNCTION("""COMPUTED_VALUE"""),"كلثوم حموجان")</f>
        <v>كلثوم حموجان</v>
      </c>
      <c r="F15" s="44" t="str">
        <f>IFERROR(__xludf.DUMMYFUNCTION("""COMPUTED_VALUE"""),"السبت")</f>
        <v>السبت</v>
      </c>
      <c r="G15" s="44">
        <f>IFERROR(__xludf.DUMMYFUNCTION("""COMPUTED_VALUE"""),8.0)</f>
        <v>8</v>
      </c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46" t="str">
        <f>IFERROR(__xludf.DUMMYFUNCTION("""COMPUTED_VALUE"""),"سواعد الامل")</f>
        <v>سواعد الامل</v>
      </c>
      <c r="B16" s="46">
        <f>IFERROR(__xludf.DUMMYFUNCTION("""COMPUTED_VALUE"""),4.0)</f>
        <v>4</v>
      </c>
      <c r="C16" s="46">
        <f>IFERROR(__xludf.DUMMYFUNCTION("""COMPUTED_VALUE"""),15.0)</f>
        <v>15</v>
      </c>
      <c r="D16" s="46" t="str">
        <f>IFERROR(__xludf.DUMMYFUNCTION("""COMPUTED_VALUE"""),"أسماء بنمبروك")</f>
        <v>أسماء بنمبروك</v>
      </c>
      <c r="E16" s="46" t="str">
        <f>IFERROR(__xludf.DUMMYFUNCTION("""COMPUTED_VALUE"""),"أسماء النصاص")</f>
        <v>أسماء النصاص</v>
      </c>
      <c r="F16" s="44" t="str">
        <f>IFERROR(__xludf.DUMMYFUNCTION("""COMPUTED_VALUE"""),"السبت")</f>
        <v>السبت</v>
      </c>
      <c r="G16" s="44">
        <f>IFERROR(__xludf.DUMMYFUNCTION("""COMPUTED_VALUE"""),7.0)</f>
        <v>7</v>
      </c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3" max="3" width="19.5"/>
    <col customWidth="1" min="4" max="4" width="18.75"/>
    <col customWidth="1" min="6" max="6" width="16.75"/>
    <col customWidth="1" min="7" max="7" width="22.38"/>
  </cols>
  <sheetData>
    <row r="1">
      <c r="A1" s="47" t="s">
        <v>3</v>
      </c>
      <c r="B1" s="47" t="s">
        <v>275</v>
      </c>
      <c r="C1" s="47" t="s">
        <v>276</v>
      </c>
      <c r="D1" s="47" t="s">
        <v>277</v>
      </c>
      <c r="E1" s="47" t="s">
        <v>278</v>
      </c>
      <c r="F1" s="47" t="s">
        <v>279</v>
      </c>
      <c r="G1" s="47" t="s">
        <v>280</v>
      </c>
    </row>
    <row r="2">
      <c r="A2" s="48" t="s">
        <v>281</v>
      </c>
      <c r="B2" s="49" t="s">
        <v>282</v>
      </c>
      <c r="C2" s="48" t="s">
        <v>283</v>
      </c>
      <c r="D2" s="48" t="s">
        <v>284</v>
      </c>
      <c r="E2" s="50">
        <v>6.61246669E8</v>
      </c>
      <c r="F2" s="49" t="s">
        <v>285</v>
      </c>
      <c r="G2" s="49" t="s">
        <v>286</v>
      </c>
    </row>
    <row r="3">
      <c r="A3" s="48" t="s">
        <v>80</v>
      </c>
      <c r="B3" s="49" t="s">
        <v>282</v>
      </c>
      <c r="C3" s="51" t="s">
        <v>287</v>
      </c>
      <c r="D3" s="51" t="s">
        <v>288</v>
      </c>
      <c r="E3" s="52">
        <v>6.62843847E8</v>
      </c>
      <c r="F3" s="53" t="s">
        <v>285</v>
      </c>
      <c r="G3" s="53" t="s">
        <v>286</v>
      </c>
    </row>
    <row r="4">
      <c r="A4" s="48" t="s">
        <v>289</v>
      </c>
      <c r="B4" s="49" t="s">
        <v>282</v>
      </c>
      <c r="C4" s="48" t="s">
        <v>290</v>
      </c>
      <c r="D4" s="48" t="s">
        <v>291</v>
      </c>
      <c r="E4" s="50">
        <v>6.7204447E8</v>
      </c>
      <c r="F4" s="49" t="s">
        <v>285</v>
      </c>
      <c r="G4" s="49" t="s">
        <v>286</v>
      </c>
    </row>
    <row r="5">
      <c r="A5" s="48" t="s">
        <v>292</v>
      </c>
      <c r="B5" s="49" t="s">
        <v>282</v>
      </c>
      <c r="C5" s="48" t="s">
        <v>293</v>
      </c>
      <c r="D5" s="48" t="s">
        <v>294</v>
      </c>
      <c r="E5" s="50">
        <v>6.61779822E8</v>
      </c>
      <c r="F5" s="49" t="s">
        <v>285</v>
      </c>
      <c r="G5" s="49" t="s">
        <v>286</v>
      </c>
    </row>
    <row r="6">
      <c r="A6" s="48" t="s">
        <v>84</v>
      </c>
      <c r="B6" s="49" t="s">
        <v>282</v>
      </c>
      <c r="C6" s="54"/>
      <c r="D6" s="54"/>
      <c r="E6" s="50">
        <v>6.66390273E8</v>
      </c>
      <c r="F6" s="49" t="s">
        <v>285</v>
      </c>
      <c r="G6" s="49" t="s">
        <v>286</v>
      </c>
    </row>
    <row r="7">
      <c r="A7" s="48" t="s">
        <v>295</v>
      </c>
      <c r="B7" s="49" t="s">
        <v>282</v>
      </c>
      <c r="C7" s="48" t="s">
        <v>296</v>
      </c>
      <c r="D7" s="48" t="s">
        <v>297</v>
      </c>
      <c r="E7" s="50">
        <v>7.06733091E8</v>
      </c>
      <c r="F7" s="49" t="s">
        <v>285</v>
      </c>
      <c r="G7" s="49" t="s">
        <v>286</v>
      </c>
    </row>
    <row r="8">
      <c r="A8" s="48" t="s">
        <v>83</v>
      </c>
      <c r="B8" s="49" t="s">
        <v>282</v>
      </c>
      <c r="C8" s="48" t="s">
        <v>298</v>
      </c>
      <c r="D8" s="48" t="s">
        <v>299</v>
      </c>
      <c r="E8" s="50">
        <v>6.61399947E8</v>
      </c>
      <c r="F8" s="49" t="s">
        <v>285</v>
      </c>
      <c r="G8" s="49" t="s">
        <v>286</v>
      </c>
    </row>
    <row r="9">
      <c r="A9" s="48" t="s">
        <v>77</v>
      </c>
      <c r="B9" s="49" t="s">
        <v>282</v>
      </c>
      <c r="C9" s="54"/>
      <c r="D9" s="48" t="s">
        <v>300</v>
      </c>
      <c r="E9" s="55"/>
      <c r="F9" s="49" t="s">
        <v>285</v>
      </c>
      <c r="G9" s="49" t="s">
        <v>286</v>
      </c>
    </row>
    <row r="10">
      <c r="A10" s="48" t="s">
        <v>76</v>
      </c>
      <c r="B10" s="49" t="s">
        <v>282</v>
      </c>
      <c r="C10" s="48" t="s">
        <v>301</v>
      </c>
      <c r="D10" s="48" t="s">
        <v>302</v>
      </c>
      <c r="E10" s="50">
        <v>6.53143759E8</v>
      </c>
      <c r="F10" s="49" t="s">
        <v>285</v>
      </c>
      <c r="G10" s="49" t="s">
        <v>286</v>
      </c>
    </row>
    <row r="11">
      <c r="A11" s="48" t="s">
        <v>303</v>
      </c>
      <c r="B11" s="49" t="s">
        <v>282</v>
      </c>
      <c r="C11" s="48" t="s">
        <v>283</v>
      </c>
      <c r="D11" s="48" t="s">
        <v>304</v>
      </c>
      <c r="E11" s="50">
        <v>6.66222445E8</v>
      </c>
      <c r="F11" s="49" t="s">
        <v>285</v>
      </c>
      <c r="G11" s="49" t="s">
        <v>286</v>
      </c>
    </row>
    <row r="12">
      <c r="A12" s="48" t="s">
        <v>82</v>
      </c>
      <c r="B12" s="49" t="s">
        <v>282</v>
      </c>
      <c r="C12" s="48" t="s">
        <v>305</v>
      </c>
      <c r="D12" s="48" t="s">
        <v>306</v>
      </c>
      <c r="E12" s="55"/>
      <c r="F12" s="49" t="s">
        <v>285</v>
      </c>
      <c r="G12" s="49" t="s">
        <v>286</v>
      </c>
    </row>
    <row r="13">
      <c r="A13" s="48" t="s">
        <v>75</v>
      </c>
      <c r="B13" s="49" t="s">
        <v>282</v>
      </c>
      <c r="C13" s="48" t="s">
        <v>307</v>
      </c>
      <c r="D13" s="48" t="s">
        <v>308</v>
      </c>
      <c r="E13" s="56">
        <v>7.10442962E8</v>
      </c>
      <c r="F13" s="49" t="s">
        <v>285</v>
      </c>
      <c r="G13" s="49" t="s">
        <v>286</v>
      </c>
    </row>
    <row r="14">
      <c r="A14" s="51" t="s">
        <v>47</v>
      </c>
      <c r="B14" s="53" t="s">
        <v>282</v>
      </c>
      <c r="C14" s="51" t="s">
        <v>293</v>
      </c>
      <c r="D14" s="51" t="s">
        <v>309</v>
      </c>
      <c r="E14" s="52">
        <v>6.72506979E8</v>
      </c>
      <c r="F14" s="53" t="s">
        <v>285</v>
      </c>
      <c r="G14" s="53" t="s">
        <v>286</v>
      </c>
    </row>
    <row r="15">
      <c r="A15" s="51" t="s">
        <v>310</v>
      </c>
      <c r="B15" s="53" t="s">
        <v>282</v>
      </c>
      <c r="C15" s="51" t="s">
        <v>305</v>
      </c>
      <c r="D15" s="51" t="s">
        <v>311</v>
      </c>
      <c r="E15" s="52">
        <v>6.88494845E8</v>
      </c>
      <c r="F15" s="53" t="s">
        <v>285</v>
      </c>
      <c r="G15" s="53" t="s">
        <v>286</v>
      </c>
    </row>
    <row r="16">
      <c r="A16" s="51" t="s">
        <v>45</v>
      </c>
      <c r="B16" s="53" t="s">
        <v>282</v>
      </c>
      <c r="C16" s="51" t="s">
        <v>312</v>
      </c>
      <c r="D16" s="51" t="s">
        <v>313</v>
      </c>
      <c r="E16" s="52">
        <v>6.02299496E8</v>
      </c>
      <c r="F16" s="53" t="s">
        <v>285</v>
      </c>
      <c r="G16" s="53" t="s">
        <v>286</v>
      </c>
    </row>
    <row r="17">
      <c r="A17" s="51" t="s">
        <v>314</v>
      </c>
      <c r="B17" s="53" t="s">
        <v>282</v>
      </c>
      <c r="C17" s="51" t="s">
        <v>287</v>
      </c>
      <c r="D17" s="51" t="s">
        <v>315</v>
      </c>
      <c r="E17" s="52">
        <v>6.62148323E8</v>
      </c>
      <c r="F17" s="53" t="s">
        <v>285</v>
      </c>
      <c r="G17" s="53" t="s">
        <v>286</v>
      </c>
    </row>
    <row r="18">
      <c r="A18" s="51" t="s">
        <v>316</v>
      </c>
      <c r="B18" s="53" t="s">
        <v>282</v>
      </c>
      <c r="C18" s="51" t="s">
        <v>317</v>
      </c>
      <c r="D18" s="51" t="s">
        <v>318</v>
      </c>
      <c r="E18" s="52">
        <v>6.4822188E8</v>
      </c>
      <c r="F18" s="53" t="s">
        <v>285</v>
      </c>
      <c r="G18" s="53" t="s">
        <v>286</v>
      </c>
    </row>
    <row r="19">
      <c r="A19" s="51" t="s">
        <v>123</v>
      </c>
      <c r="B19" s="53" t="s">
        <v>282</v>
      </c>
      <c r="C19" s="51" t="s">
        <v>319</v>
      </c>
      <c r="D19" s="51" t="s">
        <v>320</v>
      </c>
      <c r="E19" s="52">
        <v>5.24012424E8</v>
      </c>
      <c r="F19" s="53" t="s">
        <v>285</v>
      </c>
      <c r="G19" s="53" t="s">
        <v>286</v>
      </c>
    </row>
    <row r="20">
      <c r="A20" s="51" t="s">
        <v>321</v>
      </c>
      <c r="B20" s="53" t="s">
        <v>282</v>
      </c>
      <c r="C20" s="51" t="s">
        <v>307</v>
      </c>
      <c r="D20" s="51" t="s">
        <v>322</v>
      </c>
      <c r="E20" s="52">
        <v>6.97846206E8</v>
      </c>
      <c r="F20" s="53" t="s">
        <v>285</v>
      </c>
      <c r="G20" s="53" t="s">
        <v>286</v>
      </c>
    </row>
    <row r="21">
      <c r="A21" s="51" t="s">
        <v>323</v>
      </c>
      <c r="B21" s="53" t="s">
        <v>282</v>
      </c>
      <c r="C21" s="51" t="s">
        <v>293</v>
      </c>
      <c r="D21" s="51" t="s">
        <v>324</v>
      </c>
      <c r="E21" s="52">
        <v>6.00009824E8</v>
      </c>
      <c r="F21" s="53" t="s">
        <v>285</v>
      </c>
      <c r="G21" s="53" t="s">
        <v>286</v>
      </c>
    </row>
    <row r="22">
      <c r="A22" s="51" t="s">
        <v>325</v>
      </c>
      <c r="B22" s="53" t="s">
        <v>282</v>
      </c>
      <c r="C22" s="51" t="s">
        <v>326</v>
      </c>
      <c r="D22" s="51" t="s">
        <v>327</v>
      </c>
      <c r="E22" s="52">
        <v>6.63006981E8</v>
      </c>
      <c r="F22" s="53" t="s">
        <v>285</v>
      </c>
      <c r="G22" s="53" t="s">
        <v>286</v>
      </c>
    </row>
    <row r="23">
      <c r="A23" s="51" t="s">
        <v>328</v>
      </c>
      <c r="B23" s="53" t="s">
        <v>282</v>
      </c>
      <c r="C23" s="51" t="s">
        <v>329</v>
      </c>
      <c r="D23" s="51" t="s">
        <v>330</v>
      </c>
      <c r="E23" s="52">
        <v>7.08084041E8</v>
      </c>
      <c r="F23" s="53" t="s">
        <v>331</v>
      </c>
      <c r="G23" s="53" t="s">
        <v>286</v>
      </c>
    </row>
    <row r="24">
      <c r="A24" s="51" t="s">
        <v>67</v>
      </c>
      <c r="B24" s="53" t="s">
        <v>282</v>
      </c>
      <c r="C24" s="51" t="s">
        <v>332</v>
      </c>
      <c r="D24" s="51" t="s">
        <v>333</v>
      </c>
      <c r="E24" s="52">
        <v>6.55827224E8</v>
      </c>
      <c r="F24" s="53" t="s">
        <v>331</v>
      </c>
      <c r="G24" s="53" t="s">
        <v>286</v>
      </c>
    </row>
    <row r="25">
      <c r="A25" s="51" t="s">
        <v>334</v>
      </c>
      <c r="B25" s="53" t="s">
        <v>282</v>
      </c>
      <c r="C25" s="51" t="s">
        <v>335</v>
      </c>
      <c r="D25" s="51" t="s">
        <v>336</v>
      </c>
      <c r="E25" s="52">
        <v>6.69471568E8</v>
      </c>
      <c r="F25" s="53" t="s">
        <v>337</v>
      </c>
      <c r="G25" s="53" t="s">
        <v>286</v>
      </c>
    </row>
    <row r="26">
      <c r="A26" s="51" t="s">
        <v>71</v>
      </c>
      <c r="B26" s="53" t="s">
        <v>282</v>
      </c>
      <c r="C26" s="51" t="s">
        <v>307</v>
      </c>
      <c r="D26" s="51" t="s">
        <v>338</v>
      </c>
      <c r="E26" s="57">
        <v>6.19417056E8</v>
      </c>
      <c r="F26" s="53" t="s">
        <v>337</v>
      </c>
      <c r="G26" s="53" t="s">
        <v>286</v>
      </c>
    </row>
    <row r="27">
      <c r="A27" s="51" t="s">
        <v>339</v>
      </c>
      <c r="B27" s="53" t="s">
        <v>282</v>
      </c>
      <c r="C27" s="51" t="s">
        <v>340</v>
      </c>
      <c r="D27" s="51" t="s">
        <v>341</v>
      </c>
      <c r="E27" s="52">
        <v>7.0123385E8</v>
      </c>
      <c r="F27" s="53" t="s">
        <v>285</v>
      </c>
      <c r="G27" s="53" t="s">
        <v>286</v>
      </c>
    </row>
    <row r="28">
      <c r="A28" s="51" t="s">
        <v>131</v>
      </c>
      <c r="B28" s="53" t="s">
        <v>282</v>
      </c>
      <c r="C28" s="51" t="s">
        <v>296</v>
      </c>
      <c r="D28" s="51" t="s">
        <v>342</v>
      </c>
      <c r="E28" s="52">
        <v>6.61754302E8</v>
      </c>
      <c r="F28" s="53" t="s">
        <v>285</v>
      </c>
      <c r="G28" s="53" t="s">
        <v>286</v>
      </c>
    </row>
    <row r="29">
      <c r="A29" s="51" t="s">
        <v>137</v>
      </c>
      <c r="B29" s="53" t="s">
        <v>282</v>
      </c>
      <c r="C29" s="51" t="s">
        <v>343</v>
      </c>
      <c r="D29" s="51" t="s">
        <v>344</v>
      </c>
      <c r="E29" s="52">
        <v>6.79997532E8</v>
      </c>
      <c r="F29" s="53" t="s">
        <v>285</v>
      </c>
      <c r="G29" s="58"/>
    </row>
    <row r="30">
      <c r="A30" s="51" t="s">
        <v>134</v>
      </c>
      <c r="B30" s="53" t="s">
        <v>282</v>
      </c>
      <c r="C30" s="51" t="s">
        <v>287</v>
      </c>
      <c r="D30" s="51" t="s">
        <v>288</v>
      </c>
      <c r="E30" s="52">
        <v>6.62843847E8</v>
      </c>
      <c r="F30" s="53" t="s">
        <v>285</v>
      </c>
      <c r="G30" s="53" t="s">
        <v>286</v>
      </c>
    </row>
    <row r="31">
      <c r="A31" s="51" t="s">
        <v>130</v>
      </c>
      <c r="B31" s="53" t="s">
        <v>282</v>
      </c>
      <c r="C31" s="51" t="s">
        <v>287</v>
      </c>
      <c r="D31" s="51" t="s">
        <v>345</v>
      </c>
      <c r="E31" s="52">
        <v>7.75671478E8</v>
      </c>
      <c r="F31" s="53" t="s">
        <v>285</v>
      </c>
      <c r="G31" s="53" t="s">
        <v>286</v>
      </c>
    </row>
    <row r="32">
      <c r="A32" s="51" t="s">
        <v>120</v>
      </c>
      <c r="B32" s="53" t="s">
        <v>282</v>
      </c>
      <c r="C32" s="51" t="s">
        <v>287</v>
      </c>
      <c r="D32" s="51" t="s">
        <v>346</v>
      </c>
      <c r="E32" s="59"/>
      <c r="F32" s="53" t="s">
        <v>285</v>
      </c>
      <c r="G32" s="53" t="s">
        <v>286</v>
      </c>
    </row>
    <row r="33">
      <c r="A33" s="51" t="s">
        <v>119</v>
      </c>
      <c r="B33" s="53" t="s">
        <v>282</v>
      </c>
      <c r="C33" s="51" t="s">
        <v>347</v>
      </c>
      <c r="D33" s="51" t="s">
        <v>348</v>
      </c>
      <c r="E33" s="52">
        <v>6.79984419E8</v>
      </c>
      <c r="F33" s="53" t="s">
        <v>285</v>
      </c>
      <c r="G33" s="53" t="s">
        <v>286</v>
      </c>
    </row>
    <row r="34">
      <c r="A34" s="51" t="s">
        <v>349</v>
      </c>
      <c r="B34" s="53" t="s">
        <v>282</v>
      </c>
      <c r="C34" s="51" t="s">
        <v>350</v>
      </c>
      <c r="D34" s="51" t="s">
        <v>351</v>
      </c>
      <c r="E34" s="52">
        <v>6.61394673E8</v>
      </c>
      <c r="F34" s="53" t="s">
        <v>285</v>
      </c>
      <c r="G34" s="53" t="s">
        <v>286</v>
      </c>
    </row>
    <row r="35">
      <c r="A35" s="51" t="s">
        <v>352</v>
      </c>
      <c r="B35" s="53" t="s">
        <v>282</v>
      </c>
      <c r="C35" s="51" t="s">
        <v>353</v>
      </c>
      <c r="D35" s="51" t="s">
        <v>354</v>
      </c>
      <c r="E35" s="52">
        <v>6.00614334E8</v>
      </c>
      <c r="F35" s="53" t="s">
        <v>285</v>
      </c>
      <c r="G35" s="53" t="s">
        <v>286</v>
      </c>
    </row>
    <row r="36">
      <c r="A36" s="51" t="s">
        <v>60</v>
      </c>
      <c r="B36" s="53" t="s">
        <v>282</v>
      </c>
      <c r="C36" s="51" t="s">
        <v>353</v>
      </c>
      <c r="D36" s="51" t="s">
        <v>355</v>
      </c>
      <c r="E36" s="52">
        <v>6.60106002E8</v>
      </c>
      <c r="F36" s="53" t="s">
        <v>285</v>
      </c>
      <c r="G36" s="53" t="s">
        <v>286</v>
      </c>
    </row>
    <row r="37">
      <c r="A37" s="51" t="s">
        <v>122</v>
      </c>
      <c r="B37" s="53" t="s">
        <v>282</v>
      </c>
      <c r="C37" s="51" t="s">
        <v>356</v>
      </c>
      <c r="D37" s="51" t="s">
        <v>357</v>
      </c>
      <c r="E37" s="52">
        <v>6.66205574E8</v>
      </c>
      <c r="F37" s="53" t="s">
        <v>285</v>
      </c>
      <c r="G37" s="53" t="s">
        <v>286</v>
      </c>
    </row>
    <row r="38">
      <c r="A38" s="48" t="s">
        <v>358</v>
      </c>
      <c r="B38" s="49" t="s">
        <v>282</v>
      </c>
      <c r="C38" s="48" t="s">
        <v>293</v>
      </c>
      <c r="D38" s="48" t="s">
        <v>359</v>
      </c>
      <c r="E38" s="50">
        <v>6.23401924E8</v>
      </c>
      <c r="F38" s="49" t="s">
        <v>331</v>
      </c>
      <c r="G38" s="49" t="s">
        <v>286</v>
      </c>
    </row>
    <row r="39">
      <c r="A39" s="51" t="s">
        <v>360</v>
      </c>
      <c r="B39" s="53" t="s">
        <v>282</v>
      </c>
      <c r="C39" s="51" t="s">
        <v>335</v>
      </c>
      <c r="D39" s="51" t="s">
        <v>361</v>
      </c>
      <c r="E39" s="52">
        <v>6.64361419E8</v>
      </c>
      <c r="F39" s="53" t="s">
        <v>285</v>
      </c>
      <c r="G39" s="53" t="s">
        <v>286</v>
      </c>
    </row>
    <row r="40">
      <c r="A40" s="51" t="s">
        <v>362</v>
      </c>
      <c r="B40" s="53" t="s">
        <v>282</v>
      </c>
      <c r="C40" s="51" t="s">
        <v>363</v>
      </c>
      <c r="D40" s="51" t="s">
        <v>364</v>
      </c>
      <c r="E40" s="52">
        <v>6.60531899E8</v>
      </c>
      <c r="F40" s="53" t="s">
        <v>331</v>
      </c>
      <c r="G40" s="53" t="s">
        <v>286</v>
      </c>
    </row>
    <row r="41">
      <c r="A41" s="51" t="s">
        <v>55</v>
      </c>
      <c r="B41" s="53" t="s">
        <v>282</v>
      </c>
      <c r="C41" s="51" t="s">
        <v>365</v>
      </c>
      <c r="D41" s="51" t="s">
        <v>366</v>
      </c>
      <c r="E41" s="52">
        <v>6.71517822E8</v>
      </c>
      <c r="F41" s="53" t="s">
        <v>331</v>
      </c>
      <c r="G41" s="53" t="s">
        <v>286</v>
      </c>
    </row>
    <row r="42">
      <c r="A42" s="51" t="s">
        <v>367</v>
      </c>
      <c r="B42" s="53" t="s">
        <v>282</v>
      </c>
      <c r="C42" s="51" t="s">
        <v>368</v>
      </c>
      <c r="D42" s="51" t="s">
        <v>369</v>
      </c>
      <c r="E42" s="52">
        <v>6.69571797E8</v>
      </c>
      <c r="F42" s="53" t="s">
        <v>331</v>
      </c>
      <c r="G42" s="53" t="s">
        <v>286</v>
      </c>
    </row>
    <row r="43">
      <c r="A43" s="51" t="s">
        <v>370</v>
      </c>
      <c r="B43" s="53" t="s">
        <v>282</v>
      </c>
      <c r="C43" s="51" t="s">
        <v>287</v>
      </c>
      <c r="D43" s="51" t="s">
        <v>371</v>
      </c>
      <c r="E43" s="52">
        <v>6.61255366E8</v>
      </c>
      <c r="F43" s="53" t="s">
        <v>331</v>
      </c>
      <c r="G43" s="53" t="s">
        <v>286</v>
      </c>
    </row>
    <row r="44">
      <c r="A44" s="51" t="s">
        <v>62</v>
      </c>
      <c r="B44" s="53" t="s">
        <v>282</v>
      </c>
      <c r="C44" s="51" t="s">
        <v>287</v>
      </c>
      <c r="D44" s="51" t="s">
        <v>372</v>
      </c>
      <c r="E44" s="52">
        <v>7.0981265E8</v>
      </c>
      <c r="F44" s="53" t="s">
        <v>331</v>
      </c>
      <c r="G44" s="53" t="s">
        <v>286</v>
      </c>
    </row>
    <row r="45">
      <c r="A45" s="51" t="s">
        <v>57</v>
      </c>
      <c r="B45" s="53" t="s">
        <v>282</v>
      </c>
      <c r="C45" s="51" t="s">
        <v>373</v>
      </c>
      <c r="D45" s="51" t="s">
        <v>374</v>
      </c>
      <c r="E45" s="52">
        <v>6.17138826E8</v>
      </c>
      <c r="F45" s="53" t="s">
        <v>331</v>
      </c>
      <c r="G45" s="53" t="s">
        <v>286</v>
      </c>
    </row>
    <row r="46">
      <c r="A46" s="51" t="s">
        <v>58</v>
      </c>
      <c r="B46" s="53" t="s">
        <v>282</v>
      </c>
      <c r="C46" s="51" t="s">
        <v>305</v>
      </c>
      <c r="D46" s="51" t="s">
        <v>375</v>
      </c>
      <c r="E46" s="52">
        <v>6.75123664E8</v>
      </c>
      <c r="F46" s="53" t="s">
        <v>331</v>
      </c>
      <c r="G46" s="53" t="s">
        <v>286</v>
      </c>
    </row>
    <row r="47">
      <c r="A47" s="51" t="s">
        <v>59</v>
      </c>
      <c r="B47" s="53" t="s">
        <v>282</v>
      </c>
      <c r="C47" s="51" t="s">
        <v>376</v>
      </c>
      <c r="D47" s="51" t="s">
        <v>377</v>
      </c>
      <c r="E47" s="52">
        <v>6.22176683E8</v>
      </c>
      <c r="F47" s="53" t="s">
        <v>331</v>
      </c>
      <c r="G47" s="53" t="s">
        <v>286</v>
      </c>
    </row>
    <row r="48">
      <c r="A48" s="48" t="s">
        <v>54</v>
      </c>
      <c r="B48" s="53" t="s">
        <v>282</v>
      </c>
      <c r="C48" s="51" t="s">
        <v>378</v>
      </c>
      <c r="D48" s="51" t="s">
        <v>379</v>
      </c>
      <c r="E48" s="52">
        <v>6.61347037E8</v>
      </c>
      <c r="F48" s="53" t="s">
        <v>285</v>
      </c>
      <c r="G48" s="53" t="s">
        <v>286</v>
      </c>
    </row>
    <row r="49">
      <c r="A49" s="51" t="s">
        <v>380</v>
      </c>
      <c r="B49" s="53" t="s">
        <v>282</v>
      </c>
      <c r="C49" s="51" t="s">
        <v>340</v>
      </c>
      <c r="D49" s="51" t="s">
        <v>381</v>
      </c>
      <c r="E49" s="52">
        <v>6.58753235E8</v>
      </c>
      <c r="F49" s="53" t="s">
        <v>331</v>
      </c>
      <c r="G49" s="53" t="s">
        <v>286</v>
      </c>
    </row>
    <row r="50">
      <c r="A50" s="51" t="s">
        <v>382</v>
      </c>
      <c r="B50" s="53" t="s">
        <v>282</v>
      </c>
      <c r="C50" s="51" t="s">
        <v>287</v>
      </c>
      <c r="D50" s="51" t="s">
        <v>383</v>
      </c>
      <c r="E50" s="52">
        <v>6.05061156E8</v>
      </c>
      <c r="F50" s="53" t="s">
        <v>331</v>
      </c>
      <c r="G50" s="53" t="s">
        <v>286</v>
      </c>
    </row>
    <row r="51">
      <c r="A51" s="51" t="s">
        <v>147</v>
      </c>
      <c r="B51" s="53" t="s">
        <v>282</v>
      </c>
      <c r="C51" s="51" t="s">
        <v>384</v>
      </c>
      <c r="D51" s="51" t="s">
        <v>385</v>
      </c>
      <c r="E51" s="52">
        <v>6.76046664E8</v>
      </c>
      <c r="F51" s="53" t="s">
        <v>331</v>
      </c>
      <c r="G51" s="53" t="s">
        <v>286</v>
      </c>
    </row>
    <row r="52">
      <c r="A52" s="51" t="s">
        <v>386</v>
      </c>
      <c r="B52" s="53" t="s">
        <v>282</v>
      </c>
      <c r="C52" s="51" t="s">
        <v>305</v>
      </c>
      <c r="D52" s="51" t="s">
        <v>387</v>
      </c>
      <c r="E52" s="52">
        <v>7.09778735E8</v>
      </c>
      <c r="F52" s="53" t="s">
        <v>331</v>
      </c>
      <c r="G52" s="53" t="s">
        <v>286</v>
      </c>
    </row>
    <row r="53">
      <c r="A53" s="48" t="s">
        <v>388</v>
      </c>
      <c r="B53" s="49" t="s">
        <v>282</v>
      </c>
      <c r="C53" s="48" t="s">
        <v>356</v>
      </c>
      <c r="D53" s="48" t="s">
        <v>389</v>
      </c>
      <c r="E53" s="50">
        <v>6.60218117E8</v>
      </c>
      <c r="F53" s="49" t="s">
        <v>337</v>
      </c>
      <c r="G53" s="49" t="s">
        <v>286</v>
      </c>
    </row>
    <row r="54">
      <c r="A54" s="60" t="s">
        <v>390</v>
      </c>
      <c r="B54" s="53" t="s">
        <v>282</v>
      </c>
      <c r="C54" s="60" t="s">
        <v>391</v>
      </c>
      <c r="D54" s="60" t="s">
        <v>392</v>
      </c>
      <c r="E54" s="61">
        <v>6.224699E8</v>
      </c>
      <c r="F54" s="49" t="s">
        <v>337</v>
      </c>
      <c r="G54" s="53" t="s">
        <v>286</v>
      </c>
    </row>
    <row r="55">
      <c r="A55" s="51" t="s">
        <v>393</v>
      </c>
      <c r="B55" s="53" t="s">
        <v>282</v>
      </c>
      <c r="C55" s="51" t="s">
        <v>394</v>
      </c>
      <c r="D55" s="51" t="s">
        <v>395</v>
      </c>
      <c r="E55" s="52">
        <v>6.14015044E8</v>
      </c>
      <c r="F55" s="49" t="s">
        <v>337</v>
      </c>
      <c r="G55" s="53" t="s">
        <v>286</v>
      </c>
    </row>
    <row r="56">
      <c r="A56" s="51" t="s">
        <v>181</v>
      </c>
      <c r="B56" s="53" t="s">
        <v>282</v>
      </c>
      <c r="C56" s="51" t="s">
        <v>394</v>
      </c>
      <c r="D56" s="51" t="s">
        <v>395</v>
      </c>
      <c r="E56" s="52">
        <v>6.14015044E8</v>
      </c>
      <c r="F56" s="49" t="s">
        <v>337</v>
      </c>
      <c r="G56" s="53" t="s">
        <v>286</v>
      </c>
    </row>
    <row r="57">
      <c r="A57" s="51" t="s">
        <v>176</v>
      </c>
      <c r="B57" s="53" t="s">
        <v>282</v>
      </c>
      <c r="C57" s="51" t="s">
        <v>340</v>
      </c>
      <c r="D57" s="51" t="s">
        <v>341</v>
      </c>
      <c r="E57" s="52">
        <v>7.0123385E8</v>
      </c>
      <c r="F57" s="49" t="s">
        <v>337</v>
      </c>
      <c r="G57" s="53" t="s">
        <v>286</v>
      </c>
    </row>
    <row r="58">
      <c r="A58" s="51" t="s">
        <v>177</v>
      </c>
      <c r="B58" s="53" t="s">
        <v>282</v>
      </c>
      <c r="C58" s="51" t="s">
        <v>312</v>
      </c>
      <c r="D58" s="51" t="s">
        <v>396</v>
      </c>
      <c r="E58" s="52">
        <v>6.24872942E8</v>
      </c>
      <c r="F58" s="49" t="s">
        <v>337</v>
      </c>
      <c r="G58" s="53" t="s">
        <v>286</v>
      </c>
    </row>
    <row r="59">
      <c r="A59" s="51" t="s">
        <v>175</v>
      </c>
      <c r="B59" s="53" t="s">
        <v>282</v>
      </c>
      <c r="C59" s="51" t="s">
        <v>384</v>
      </c>
      <c r="D59" s="51" t="s">
        <v>385</v>
      </c>
      <c r="E59" s="52">
        <v>6.76046664E8</v>
      </c>
      <c r="F59" s="49" t="s">
        <v>337</v>
      </c>
      <c r="G59" s="53" t="s">
        <v>286</v>
      </c>
    </row>
    <row r="60">
      <c r="A60" s="60" t="s">
        <v>178</v>
      </c>
      <c r="B60" s="62" t="s">
        <v>282</v>
      </c>
      <c r="C60" s="51" t="s">
        <v>397</v>
      </c>
      <c r="D60" s="51" t="s">
        <v>398</v>
      </c>
      <c r="E60" s="52">
        <v>6.02666863E8</v>
      </c>
      <c r="F60" s="49" t="s">
        <v>337</v>
      </c>
      <c r="G60" s="53" t="s">
        <v>286</v>
      </c>
    </row>
    <row r="61">
      <c r="A61" s="60" t="s">
        <v>179</v>
      </c>
      <c r="B61" s="53" t="s">
        <v>282</v>
      </c>
      <c r="C61" s="60" t="s">
        <v>399</v>
      </c>
      <c r="D61" s="60" t="s">
        <v>400</v>
      </c>
      <c r="E61" s="61">
        <v>6.60466095E8</v>
      </c>
      <c r="F61" s="49" t="s">
        <v>337</v>
      </c>
      <c r="G61" s="53" t="s">
        <v>286</v>
      </c>
    </row>
    <row r="62">
      <c r="A62" s="60" t="s">
        <v>401</v>
      </c>
      <c r="B62" s="53" t="s">
        <v>282</v>
      </c>
      <c r="C62" s="60" t="s">
        <v>353</v>
      </c>
      <c r="D62" s="60" t="s">
        <v>354</v>
      </c>
      <c r="E62" s="61">
        <v>6.00614334E8</v>
      </c>
      <c r="F62" s="49" t="s">
        <v>337</v>
      </c>
      <c r="G62" s="53" t="s">
        <v>286</v>
      </c>
    </row>
    <row r="63">
      <c r="A63" s="60" t="s">
        <v>402</v>
      </c>
      <c r="B63" s="53" t="s">
        <v>282</v>
      </c>
      <c r="C63" s="60" t="s">
        <v>335</v>
      </c>
      <c r="D63" s="60" t="s">
        <v>403</v>
      </c>
      <c r="E63" s="61">
        <v>6.39601528E8</v>
      </c>
      <c r="F63" s="49" t="s">
        <v>337</v>
      </c>
      <c r="G63" s="53" t="s">
        <v>286</v>
      </c>
    </row>
    <row r="64">
      <c r="A64" s="63" t="s">
        <v>404</v>
      </c>
      <c r="B64" s="49" t="s">
        <v>282</v>
      </c>
      <c r="C64" s="63" t="s">
        <v>405</v>
      </c>
      <c r="D64" s="63" t="s">
        <v>406</v>
      </c>
      <c r="E64" s="64">
        <v>6.66655603E8</v>
      </c>
      <c r="F64" s="49" t="s">
        <v>337</v>
      </c>
      <c r="G64" s="49" t="s">
        <v>286</v>
      </c>
    </row>
    <row r="65">
      <c r="A65" s="51" t="s">
        <v>407</v>
      </c>
      <c r="B65" s="53" t="s">
        <v>282</v>
      </c>
      <c r="C65" s="51" t="s">
        <v>307</v>
      </c>
      <c r="D65" s="51" t="s">
        <v>408</v>
      </c>
      <c r="E65" s="52">
        <v>6.71175112E8</v>
      </c>
      <c r="F65" s="53" t="s">
        <v>337</v>
      </c>
      <c r="G65" s="53" t="s">
        <v>286</v>
      </c>
    </row>
    <row r="66">
      <c r="A66" s="60" t="s">
        <v>409</v>
      </c>
      <c r="B66" s="53" t="s">
        <v>282</v>
      </c>
      <c r="C66" s="60" t="s">
        <v>340</v>
      </c>
      <c r="D66" s="65"/>
      <c r="E66" s="61">
        <v>6.58753235E8</v>
      </c>
      <c r="F66" s="53" t="s">
        <v>337</v>
      </c>
      <c r="G66" s="53" t="s">
        <v>286</v>
      </c>
    </row>
    <row r="67">
      <c r="A67" s="51" t="s">
        <v>157</v>
      </c>
      <c r="B67" s="53" t="s">
        <v>282</v>
      </c>
      <c r="C67" s="51" t="s">
        <v>397</v>
      </c>
      <c r="D67" s="51" t="s">
        <v>398</v>
      </c>
      <c r="E67" s="52">
        <v>6.02666863E8</v>
      </c>
      <c r="F67" s="53" t="s">
        <v>337</v>
      </c>
      <c r="G67" s="53" t="s">
        <v>286</v>
      </c>
    </row>
    <row r="68">
      <c r="A68" s="51" t="s">
        <v>159</v>
      </c>
      <c r="B68" s="53" t="s">
        <v>282</v>
      </c>
      <c r="C68" s="51" t="s">
        <v>307</v>
      </c>
      <c r="D68" s="51" t="s">
        <v>410</v>
      </c>
      <c r="E68" s="52">
        <v>7.6218669E8</v>
      </c>
      <c r="F68" s="53" t="s">
        <v>337</v>
      </c>
      <c r="G68" s="53" t="s">
        <v>286</v>
      </c>
    </row>
    <row r="69">
      <c r="A69" s="51" t="s">
        <v>160</v>
      </c>
      <c r="B69" s="53" t="s">
        <v>282</v>
      </c>
      <c r="C69" s="51" t="s">
        <v>283</v>
      </c>
      <c r="D69" s="51" t="s">
        <v>411</v>
      </c>
      <c r="E69" s="52">
        <v>6.62635868E8</v>
      </c>
      <c r="F69" s="53" t="s">
        <v>337</v>
      </c>
      <c r="G69" s="53" t="s">
        <v>286</v>
      </c>
    </row>
    <row r="70">
      <c r="A70" s="51" t="s">
        <v>161</v>
      </c>
      <c r="B70" s="53" t="s">
        <v>282</v>
      </c>
      <c r="C70" s="51" t="s">
        <v>296</v>
      </c>
      <c r="D70" s="51" t="s">
        <v>297</v>
      </c>
      <c r="E70" s="52">
        <v>7.06733091E8</v>
      </c>
      <c r="F70" s="53" t="s">
        <v>337</v>
      </c>
      <c r="G70" s="53" t="s">
        <v>286</v>
      </c>
    </row>
    <row r="71">
      <c r="A71" s="51" t="s">
        <v>68</v>
      </c>
      <c r="B71" s="53" t="s">
        <v>282</v>
      </c>
      <c r="C71" s="51" t="s">
        <v>335</v>
      </c>
      <c r="D71" s="51" t="s">
        <v>412</v>
      </c>
      <c r="E71" s="52">
        <v>6.62106372E8</v>
      </c>
      <c r="F71" s="53" t="s">
        <v>337</v>
      </c>
      <c r="G71" s="53" t="s">
        <v>286</v>
      </c>
    </row>
    <row r="72">
      <c r="A72" s="51" t="s">
        <v>328</v>
      </c>
      <c r="B72" s="53" t="s">
        <v>282</v>
      </c>
      <c r="C72" s="51" t="s">
        <v>329</v>
      </c>
      <c r="D72" s="51" t="s">
        <v>330</v>
      </c>
      <c r="E72" s="52">
        <v>7.08084041E8</v>
      </c>
      <c r="F72" s="53" t="s">
        <v>337</v>
      </c>
      <c r="G72" s="53" t="s">
        <v>286</v>
      </c>
    </row>
    <row r="73">
      <c r="A73" s="63" t="s">
        <v>413</v>
      </c>
      <c r="B73" s="49" t="s">
        <v>282</v>
      </c>
      <c r="C73" s="63" t="s">
        <v>414</v>
      </c>
      <c r="D73" s="63" t="s">
        <v>415</v>
      </c>
      <c r="E73" s="64">
        <v>6.31977172E8</v>
      </c>
      <c r="F73" s="49" t="s">
        <v>416</v>
      </c>
      <c r="G73" s="49" t="s">
        <v>286</v>
      </c>
    </row>
    <row r="74">
      <c r="A74" s="63" t="s">
        <v>187</v>
      </c>
      <c r="B74" s="49" t="s">
        <v>282</v>
      </c>
      <c r="C74" s="63" t="s">
        <v>417</v>
      </c>
      <c r="D74" s="63" t="s">
        <v>418</v>
      </c>
      <c r="E74" s="64">
        <v>6.99730459E8</v>
      </c>
      <c r="F74" s="49" t="s">
        <v>416</v>
      </c>
      <c r="G74" s="49" t="s">
        <v>286</v>
      </c>
    </row>
    <row r="75">
      <c r="A75" s="60" t="s">
        <v>419</v>
      </c>
      <c r="B75" s="53" t="s">
        <v>282</v>
      </c>
      <c r="C75" s="60" t="s">
        <v>420</v>
      </c>
      <c r="D75" s="60" t="s">
        <v>421</v>
      </c>
      <c r="E75" s="61">
        <v>6.61255835E8</v>
      </c>
      <c r="F75" s="49" t="s">
        <v>416</v>
      </c>
      <c r="G75" s="53" t="s">
        <v>286</v>
      </c>
    </row>
    <row r="76">
      <c r="A76" s="60" t="s">
        <v>191</v>
      </c>
      <c r="B76" s="53" t="s">
        <v>282</v>
      </c>
      <c r="C76" s="60" t="s">
        <v>350</v>
      </c>
      <c r="D76" s="60" t="s">
        <v>422</v>
      </c>
      <c r="E76" s="61">
        <v>6.76398981E8</v>
      </c>
      <c r="F76" s="49" t="s">
        <v>416</v>
      </c>
      <c r="G76" s="53" t="s">
        <v>286</v>
      </c>
    </row>
    <row r="77">
      <c r="A77" s="60" t="s">
        <v>423</v>
      </c>
      <c r="B77" s="53" t="s">
        <v>282</v>
      </c>
      <c r="C77" s="60" t="s">
        <v>332</v>
      </c>
      <c r="D77" s="60" t="s">
        <v>424</v>
      </c>
      <c r="E77" s="61">
        <v>6.66390273E8</v>
      </c>
      <c r="F77" s="49" t="s">
        <v>416</v>
      </c>
      <c r="G77" s="53" t="s">
        <v>286</v>
      </c>
    </row>
    <row r="78">
      <c r="A78" s="60" t="s">
        <v>193</v>
      </c>
      <c r="B78" s="53" t="s">
        <v>282</v>
      </c>
      <c r="C78" s="60" t="s">
        <v>296</v>
      </c>
      <c r="D78" s="60" t="s">
        <v>425</v>
      </c>
      <c r="E78" s="61">
        <v>6.60531899E8</v>
      </c>
      <c r="F78" s="49" t="s">
        <v>416</v>
      </c>
      <c r="G78" s="53" t="s">
        <v>286</v>
      </c>
    </row>
    <row r="79">
      <c r="A79" s="60" t="s">
        <v>194</v>
      </c>
      <c r="B79" s="53" t="s">
        <v>282</v>
      </c>
      <c r="C79" s="60" t="s">
        <v>307</v>
      </c>
      <c r="D79" s="60" t="s">
        <v>426</v>
      </c>
      <c r="E79" s="61">
        <v>6.61841353E8</v>
      </c>
      <c r="F79" s="49" t="s">
        <v>416</v>
      </c>
      <c r="G79" s="53" t="s">
        <v>286</v>
      </c>
    </row>
    <row r="80">
      <c r="A80" s="60" t="s">
        <v>427</v>
      </c>
      <c r="B80" s="53" t="s">
        <v>282</v>
      </c>
      <c r="C80" s="60" t="s">
        <v>428</v>
      </c>
      <c r="D80" s="60" t="s">
        <v>355</v>
      </c>
      <c r="E80" s="61">
        <v>6.60106002E8</v>
      </c>
      <c r="F80" s="49" t="s">
        <v>416</v>
      </c>
      <c r="G80" s="53" t="s">
        <v>286</v>
      </c>
    </row>
    <row r="81">
      <c r="A81" s="60" t="s">
        <v>429</v>
      </c>
      <c r="B81" s="53" t="s">
        <v>282</v>
      </c>
      <c r="C81" s="60" t="s">
        <v>430</v>
      </c>
      <c r="D81" s="60" t="s">
        <v>431</v>
      </c>
      <c r="E81" s="61">
        <v>6.61836267E8</v>
      </c>
      <c r="F81" s="49" t="s">
        <v>416</v>
      </c>
      <c r="G81" s="53" t="s">
        <v>286</v>
      </c>
    </row>
    <row r="82">
      <c r="A82" s="60" t="s">
        <v>168</v>
      </c>
      <c r="B82" s="53" t="s">
        <v>282</v>
      </c>
      <c r="C82" s="60" t="s">
        <v>290</v>
      </c>
      <c r="D82" s="60" t="s">
        <v>432</v>
      </c>
      <c r="E82" s="61">
        <v>6.6122154E8</v>
      </c>
      <c r="F82" s="49" t="s">
        <v>416</v>
      </c>
      <c r="G82" s="53" t="s">
        <v>286</v>
      </c>
    </row>
    <row r="83">
      <c r="A83" s="60" t="s">
        <v>433</v>
      </c>
      <c r="B83" s="53" t="s">
        <v>282</v>
      </c>
      <c r="C83" s="60" t="s">
        <v>434</v>
      </c>
      <c r="D83" s="60" t="s">
        <v>435</v>
      </c>
      <c r="E83" s="61">
        <v>6.61112498E8</v>
      </c>
      <c r="F83" s="49" t="s">
        <v>416</v>
      </c>
      <c r="G83" s="53" t="s">
        <v>286</v>
      </c>
    </row>
    <row r="84">
      <c r="A84" s="60" t="s">
        <v>196</v>
      </c>
      <c r="B84" s="53" t="s">
        <v>282</v>
      </c>
      <c r="C84" s="60" t="s">
        <v>296</v>
      </c>
      <c r="D84" s="60" t="s">
        <v>436</v>
      </c>
      <c r="E84" s="61">
        <v>6.88589853E8</v>
      </c>
      <c r="F84" s="49" t="s">
        <v>416</v>
      </c>
      <c r="G84" s="53" t="s">
        <v>286</v>
      </c>
    </row>
    <row r="85">
      <c r="A85" s="60" t="s">
        <v>437</v>
      </c>
      <c r="B85" s="53" t="s">
        <v>282</v>
      </c>
      <c r="C85" s="60" t="s">
        <v>307</v>
      </c>
      <c r="D85" s="60" t="s">
        <v>438</v>
      </c>
      <c r="E85" s="61">
        <v>6.10420594E8</v>
      </c>
      <c r="F85" s="49" t="s">
        <v>416</v>
      </c>
      <c r="G85" s="53" t="s">
        <v>286</v>
      </c>
    </row>
    <row r="86">
      <c r="A86" s="60" t="s">
        <v>200</v>
      </c>
      <c r="B86" s="53" t="s">
        <v>282</v>
      </c>
      <c r="C86" s="60" t="s">
        <v>335</v>
      </c>
      <c r="D86" s="60" t="s">
        <v>336</v>
      </c>
      <c r="E86" s="61">
        <v>6.69471568E8</v>
      </c>
      <c r="F86" s="49" t="s">
        <v>416</v>
      </c>
      <c r="G86" s="53" t="s">
        <v>286</v>
      </c>
    </row>
    <row r="87">
      <c r="A87" s="51" t="s">
        <v>61</v>
      </c>
      <c r="B87" s="53" t="s">
        <v>282</v>
      </c>
      <c r="C87" s="51" t="s">
        <v>405</v>
      </c>
      <c r="D87" s="51" t="s">
        <v>439</v>
      </c>
      <c r="E87" s="52">
        <v>6.66655603E8</v>
      </c>
      <c r="F87" s="53" t="s">
        <v>285</v>
      </c>
      <c r="G87" s="53" t="s">
        <v>286</v>
      </c>
    </row>
    <row r="88">
      <c r="A88" s="60" t="s">
        <v>440</v>
      </c>
      <c r="B88" s="53" t="s">
        <v>282</v>
      </c>
      <c r="C88" s="60" t="s">
        <v>305</v>
      </c>
      <c r="D88" s="60" t="s">
        <v>441</v>
      </c>
      <c r="E88" s="61">
        <v>6.08843742E8</v>
      </c>
      <c r="F88" s="53" t="s">
        <v>331</v>
      </c>
      <c r="G88" s="53" t="s">
        <v>286</v>
      </c>
    </row>
    <row r="89">
      <c r="A89" s="60" t="s">
        <v>144</v>
      </c>
      <c r="B89" s="53" t="s">
        <v>282</v>
      </c>
      <c r="C89" s="60" t="s">
        <v>347</v>
      </c>
      <c r="D89" s="60" t="s">
        <v>442</v>
      </c>
      <c r="E89" s="61">
        <v>7.00171912E8</v>
      </c>
      <c r="F89" s="53" t="s">
        <v>331</v>
      </c>
      <c r="G89" s="53" t="s">
        <v>286</v>
      </c>
    </row>
    <row r="90">
      <c r="A90" s="60" t="s">
        <v>145</v>
      </c>
      <c r="B90" s="53" t="s">
        <v>282</v>
      </c>
      <c r="C90" s="60" t="s">
        <v>335</v>
      </c>
      <c r="D90" s="60" t="s">
        <v>443</v>
      </c>
      <c r="E90" s="61">
        <v>6.66446866E8</v>
      </c>
      <c r="F90" s="53" t="s">
        <v>331</v>
      </c>
      <c r="G90" s="53" t="s">
        <v>286</v>
      </c>
    </row>
    <row r="91">
      <c r="A91" s="51" t="s">
        <v>444</v>
      </c>
      <c r="B91" s="53" t="s">
        <v>282</v>
      </c>
      <c r="C91" s="51" t="s">
        <v>445</v>
      </c>
      <c r="D91" s="51" t="s">
        <v>446</v>
      </c>
      <c r="E91" s="52">
        <v>6.66858267E8</v>
      </c>
      <c r="F91" s="53" t="s">
        <v>285</v>
      </c>
      <c r="G91" s="53" t="s">
        <v>286</v>
      </c>
    </row>
    <row r="92">
      <c r="A92" s="60" t="s">
        <v>447</v>
      </c>
      <c r="B92" s="53" t="s">
        <v>282</v>
      </c>
      <c r="C92" s="60" t="s">
        <v>448</v>
      </c>
      <c r="D92" s="60" t="s">
        <v>449</v>
      </c>
      <c r="E92" s="61">
        <v>6.7551945E8</v>
      </c>
      <c r="F92" s="53" t="s">
        <v>285</v>
      </c>
      <c r="G92" s="53" t="s">
        <v>286</v>
      </c>
    </row>
    <row r="93">
      <c r="A93" s="60" t="s">
        <v>450</v>
      </c>
      <c r="B93" s="53" t="s">
        <v>282</v>
      </c>
      <c r="C93" s="60" t="s">
        <v>287</v>
      </c>
      <c r="D93" s="60" t="s">
        <v>451</v>
      </c>
      <c r="E93" s="61">
        <v>7.66497047E8</v>
      </c>
      <c r="F93" s="53" t="s">
        <v>331</v>
      </c>
      <c r="G93" s="53" t="s">
        <v>286</v>
      </c>
    </row>
    <row r="94">
      <c r="A94" s="60" t="s">
        <v>452</v>
      </c>
      <c r="B94" s="53" t="s">
        <v>282</v>
      </c>
      <c r="C94" s="60" t="s">
        <v>453</v>
      </c>
      <c r="D94" s="60" t="s">
        <v>454</v>
      </c>
      <c r="E94" s="61">
        <v>6.68837889E8</v>
      </c>
      <c r="F94" s="53" t="s">
        <v>331</v>
      </c>
      <c r="G94" s="53" t="s">
        <v>286</v>
      </c>
    </row>
    <row r="95">
      <c r="A95" s="60" t="s">
        <v>146</v>
      </c>
      <c r="B95" s="53" t="s">
        <v>282</v>
      </c>
      <c r="C95" s="60" t="s">
        <v>312</v>
      </c>
      <c r="D95" s="60" t="s">
        <v>455</v>
      </c>
      <c r="E95" s="61">
        <v>6.61295126E8</v>
      </c>
      <c r="F95" s="53" t="s">
        <v>331</v>
      </c>
      <c r="G95" s="53" t="s">
        <v>286</v>
      </c>
    </row>
    <row r="96">
      <c r="A96" s="60" t="s">
        <v>117</v>
      </c>
      <c r="B96" s="53" t="s">
        <v>282</v>
      </c>
      <c r="C96" s="60" t="s">
        <v>307</v>
      </c>
      <c r="D96" s="60" t="s">
        <v>456</v>
      </c>
      <c r="E96" s="61">
        <v>6.1604066E8</v>
      </c>
      <c r="F96" s="53" t="s">
        <v>285</v>
      </c>
      <c r="G96" s="53" t="s">
        <v>286</v>
      </c>
    </row>
    <row r="97">
      <c r="A97" s="60" t="s">
        <v>152</v>
      </c>
      <c r="B97" s="53" t="s">
        <v>282</v>
      </c>
      <c r="C97" s="60" t="s">
        <v>457</v>
      </c>
      <c r="D97" s="60" t="s">
        <v>458</v>
      </c>
      <c r="E97" s="61">
        <v>661.0</v>
      </c>
      <c r="F97" s="53" t="s">
        <v>285</v>
      </c>
      <c r="G97" s="53" t="s">
        <v>286</v>
      </c>
    </row>
    <row r="98">
      <c r="A98" s="63" t="s">
        <v>459</v>
      </c>
      <c r="B98" s="53" t="s">
        <v>282</v>
      </c>
      <c r="C98" s="60" t="s">
        <v>460</v>
      </c>
      <c r="D98" s="60" t="s">
        <v>461</v>
      </c>
      <c r="E98" s="61">
        <v>6.61347037E8</v>
      </c>
      <c r="F98" s="53" t="s">
        <v>285</v>
      </c>
      <c r="G98" s="53" t="s">
        <v>286</v>
      </c>
    </row>
    <row r="99">
      <c r="A99" s="63" t="s">
        <v>125</v>
      </c>
      <c r="B99" s="53" t="s">
        <v>282</v>
      </c>
      <c r="C99" s="60" t="s">
        <v>462</v>
      </c>
      <c r="D99" s="60" t="s">
        <v>463</v>
      </c>
      <c r="E99" s="61">
        <v>6.61616872E8</v>
      </c>
      <c r="F99" s="53" t="s">
        <v>285</v>
      </c>
      <c r="G99" s="53" t="s">
        <v>286</v>
      </c>
    </row>
    <row r="100">
      <c r="A100" s="63" t="s">
        <v>464</v>
      </c>
      <c r="B100" s="53" t="s">
        <v>282</v>
      </c>
      <c r="C100" s="60" t="s">
        <v>465</v>
      </c>
      <c r="D100" s="60" t="s">
        <v>466</v>
      </c>
      <c r="E100" s="61">
        <v>6.39679308E8</v>
      </c>
      <c r="F100" s="53" t="s">
        <v>285</v>
      </c>
      <c r="G100" s="53" t="s">
        <v>286</v>
      </c>
    </row>
    <row r="101">
      <c r="A101" s="63" t="s">
        <v>467</v>
      </c>
      <c r="B101" s="53" t="s">
        <v>282</v>
      </c>
      <c r="C101" s="60" t="s">
        <v>468</v>
      </c>
      <c r="D101" s="60" t="s">
        <v>469</v>
      </c>
      <c r="E101" s="61">
        <v>6.31379316E8</v>
      </c>
      <c r="F101" s="53" t="s">
        <v>285</v>
      </c>
      <c r="G101" s="53" t="s">
        <v>286</v>
      </c>
    </row>
    <row r="102">
      <c r="A102" s="63" t="s">
        <v>49</v>
      </c>
      <c r="B102" s="53" t="s">
        <v>282</v>
      </c>
      <c r="C102" s="60" t="s">
        <v>296</v>
      </c>
      <c r="D102" s="60" t="s">
        <v>470</v>
      </c>
      <c r="E102" s="61">
        <v>6.51044926E8</v>
      </c>
      <c r="F102" s="53" t="s">
        <v>285</v>
      </c>
      <c r="G102" s="53" t="s">
        <v>286</v>
      </c>
    </row>
    <row r="103">
      <c r="A103" s="63" t="s">
        <v>471</v>
      </c>
      <c r="B103" s="53" t="s">
        <v>282</v>
      </c>
      <c r="C103" s="60" t="s">
        <v>420</v>
      </c>
      <c r="D103" s="60" t="s">
        <v>472</v>
      </c>
      <c r="E103" s="61">
        <v>6.48883609E8</v>
      </c>
      <c r="F103" s="53" t="s">
        <v>285</v>
      </c>
      <c r="G103" s="53" t="s">
        <v>286</v>
      </c>
    </row>
    <row r="104">
      <c r="A104" s="63" t="s">
        <v>473</v>
      </c>
      <c r="B104" s="53" t="s">
        <v>282</v>
      </c>
      <c r="C104" s="60" t="s">
        <v>474</v>
      </c>
      <c r="D104" s="60" t="s">
        <v>475</v>
      </c>
      <c r="E104" s="61">
        <v>6.61989324E8</v>
      </c>
      <c r="F104" s="53" t="s">
        <v>285</v>
      </c>
      <c r="G104" s="53" t="s">
        <v>286</v>
      </c>
    </row>
    <row r="105">
      <c r="A105" s="63" t="s">
        <v>50</v>
      </c>
      <c r="B105" s="53" t="s">
        <v>282</v>
      </c>
      <c r="C105" s="60" t="s">
        <v>296</v>
      </c>
      <c r="D105" s="60" t="s">
        <v>476</v>
      </c>
      <c r="E105" s="61">
        <v>6.51044926E8</v>
      </c>
      <c r="F105" s="53" t="s">
        <v>285</v>
      </c>
      <c r="G105" s="53" t="s">
        <v>286</v>
      </c>
    </row>
    <row r="106">
      <c r="A106" s="63" t="s">
        <v>477</v>
      </c>
      <c r="B106" s="53" t="s">
        <v>282</v>
      </c>
      <c r="C106" s="60" t="s">
        <v>478</v>
      </c>
      <c r="D106" s="60" t="s">
        <v>479</v>
      </c>
      <c r="E106" s="61">
        <v>6.22556734E8</v>
      </c>
      <c r="F106" s="53" t="s">
        <v>285</v>
      </c>
      <c r="G106" s="53" t="s">
        <v>286</v>
      </c>
    </row>
    <row r="107">
      <c r="A107" s="60" t="s">
        <v>167</v>
      </c>
      <c r="B107" s="53" t="s">
        <v>282</v>
      </c>
      <c r="C107" s="60" t="s">
        <v>462</v>
      </c>
      <c r="D107" s="60" t="s">
        <v>480</v>
      </c>
      <c r="E107" s="61">
        <v>6.61616872E8</v>
      </c>
      <c r="F107" s="53" t="s">
        <v>285</v>
      </c>
      <c r="G107" s="53" t="s">
        <v>286</v>
      </c>
    </row>
    <row r="108">
      <c r="A108" s="60" t="s">
        <v>125</v>
      </c>
      <c r="B108" s="53" t="s">
        <v>282</v>
      </c>
      <c r="C108" s="60" t="s">
        <v>462</v>
      </c>
      <c r="D108" s="60" t="s">
        <v>480</v>
      </c>
      <c r="E108" s="61">
        <v>6.61616872E8</v>
      </c>
      <c r="F108" s="53" t="s">
        <v>331</v>
      </c>
      <c r="G108" s="53" t="s">
        <v>286</v>
      </c>
    </row>
    <row r="109">
      <c r="A109" s="60" t="s">
        <v>133</v>
      </c>
      <c r="B109" s="53" t="s">
        <v>282</v>
      </c>
      <c r="C109" s="60" t="s">
        <v>340</v>
      </c>
      <c r="D109" s="60" t="s">
        <v>481</v>
      </c>
      <c r="E109" s="61">
        <v>6.8886285E8</v>
      </c>
      <c r="F109" s="53" t="s">
        <v>285</v>
      </c>
      <c r="G109" s="53" t="s">
        <v>286</v>
      </c>
    </row>
    <row r="110">
      <c r="A110" s="51" t="s">
        <v>14</v>
      </c>
      <c r="B110" s="53" t="s">
        <v>282</v>
      </c>
      <c r="C110" s="51" t="s">
        <v>482</v>
      </c>
      <c r="D110" s="51" t="s">
        <v>483</v>
      </c>
      <c r="E110" s="66">
        <v>6.61450548E8</v>
      </c>
      <c r="F110" s="53" t="s">
        <v>285</v>
      </c>
      <c r="G110" s="53" t="s">
        <v>286</v>
      </c>
    </row>
    <row r="111">
      <c r="A111" s="51" t="s">
        <v>13</v>
      </c>
      <c r="B111" s="53" t="s">
        <v>282</v>
      </c>
      <c r="C111" s="51" t="s">
        <v>482</v>
      </c>
      <c r="D111" s="51" t="s">
        <v>483</v>
      </c>
      <c r="E111" s="66">
        <v>6.61450548E8</v>
      </c>
      <c r="F111" s="53" t="s">
        <v>285</v>
      </c>
      <c r="G111" s="53" t="s">
        <v>286</v>
      </c>
    </row>
    <row r="112">
      <c r="A112" s="51" t="s">
        <v>7</v>
      </c>
      <c r="B112" s="53" t="s">
        <v>282</v>
      </c>
      <c r="C112" s="51" t="s">
        <v>378</v>
      </c>
      <c r="D112" s="51" t="s">
        <v>484</v>
      </c>
      <c r="E112" s="66">
        <v>6.1477764E8</v>
      </c>
      <c r="F112" s="53" t="s">
        <v>285</v>
      </c>
      <c r="G112" s="53" t="s">
        <v>286</v>
      </c>
    </row>
    <row r="113">
      <c r="A113" s="51" t="s">
        <v>485</v>
      </c>
      <c r="B113" s="53" t="s">
        <v>282</v>
      </c>
      <c r="C113" s="51" t="s">
        <v>305</v>
      </c>
      <c r="D113" s="51" t="s">
        <v>486</v>
      </c>
      <c r="E113" s="66">
        <v>6.6806112E8</v>
      </c>
      <c r="F113" s="53" t="s">
        <v>285</v>
      </c>
      <c r="G113" s="53" t="s">
        <v>286</v>
      </c>
    </row>
    <row r="114">
      <c r="A114" s="51" t="s">
        <v>487</v>
      </c>
      <c r="B114" s="53" t="s">
        <v>282</v>
      </c>
      <c r="C114" s="51" t="s">
        <v>488</v>
      </c>
      <c r="D114" s="51" t="s">
        <v>489</v>
      </c>
      <c r="E114" s="66">
        <v>6.58651925E8</v>
      </c>
      <c r="F114" s="53" t="s">
        <v>285</v>
      </c>
      <c r="G114" s="53" t="s">
        <v>286</v>
      </c>
    </row>
    <row r="115">
      <c r="A115" s="51" t="s">
        <v>490</v>
      </c>
      <c r="B115" s="53" t="s">
        <v>282</v>
      </c>
      <c r="C115" s="51" t="s">
        <v>491</v>
      </c>
      <c r="D115" s="51" t="s">
        <v>492</v>
      </c>
      <c r="E115" s="66">
        <v>6.61136279E8</v>
      </c>
      <c r="F115" s="53" t="s">
        <v>285</v>
      </c>
      <c r="G115" s="53" t="s">
        <v>286</v>
      </c>
    </row>
    <row r="116">
      <c r="A116" s="51" t="s">
        <v>10</v>
      </c>
      <c r="B116" s="53" t="s">
        <v>282</v>
      </c>
      <c r="C116" s="51" t="s">
        <v>493</v>
      </c>
      <c r="D116" s="51" t="s">
        <v>494</v>
      </c>
      <c r="E116" s="66">
        <v>6.61205286E8</v>
      </c>
      <c r="F116" s="53" t="s">
        <v>285</v>
      </c>
      <c r="G116" s="53" t="s">
        <v>286</v>
      </c>
    </row>
    <row r="117">
      <c r="A117" s="51" t="s">
        <v>495</v>
      </c>
      <c r="B117" s="53" t="s">
        <v>282</v>
      </c>
      <c r="C117" s="51" t="s">
        <v>335</v>
      </c>
      <c r="D117" s="51" t="s">
        <v>496</v>
      </c>
      <c r="E117" s="66">
        <v>6.68050549E8</v>
      </c>
      <c r="F117" s="53" t="s">
        <v>285</v>
      </c>
      <c r="G117" s="53" t="s">
        <v>286</v>
      </c>
    </row>
    <row r="118">
      <c r="A118" s="51" t="s">
        <v>497</v>
      </c>
      <c r="B118" s="53" t="s">
        <v>282</v>
      </c>
      <c r="C118" s="51" t="s">
        <v>498</v>
      </c>
      <c r="D118" s="51" t="s">
        <v>499</v>
      </c>
      <c r="E118" s="66">
        <v>6.76322961E8</v>
      </c>
      <c r="F118" s="53" t="s">
        <v>285</v>
      </c>
      <c r="G118" s="53" t="s">
        <v>286</v>
      </c>
    </row>
    <row r="119">
      <c r="A119" s="51" t="s">
        <v>16</v>
      </c>
      <c r="B119" s="53" t="s">
        <v>282</v>
      </c>
      <c r="C119" s="58"/>
      <c r="D119" s="51" t="s">
        <v>500</v>
      </c>
      <c r="E119" s="66">
        <v>6.61578988E8</v>
      </c>
      <c r="F119" s="53" t="s">
        <v>285</v>
      </c>
      <c r="G119" s="53" t="s">
        <v>286</v>
      </c>
    </row>
    <row r="120">
      <c r="A120" s="51" t="s">
        <v>8</v>
      </c>
      <c r="B120" s="53" t="s">
        <v>282</v>
      </c>
      <c r="C120" s="51" t="s">
        <v>501</v>
      </c>
      <c r="D120" s="51" t="s">
        <v>502</v>
      </c>
      <c r="E120" s="66">
        <v>6.61233133E8</v>
      </c>
      <c r="F120" s="53" t="s">
        <v>285</v>
      </c>
      <c r="G120" s="53" t="s">
        <v>286</v>
      </c>
    </row>
    <row r="121">
      <c r="A121" s="51" t="s">
        <v>9</v>
      </c>
      <c r="B121" s="53" t="s">
        <v>282</v>
      </c>
      <c r="C121" s="51" t="s">
        <v>501</v>
      </c>
      <c r="D121" s="51" t="s">
        <v>502</v>
      </c>
      <c r="E121" s="66">
        <v>6.61233133E8</v>
      </c>
      <c r="F121" s="53" t="s">
        <v>285</v>
      </c>
      <c r="G121" s="53" t="s">
        <v>286</v>
      </c>
    </row>
    <row r="122">
      <c r="A122" s="51" t="s">
        <v>19</v>
      </c>
      <c r="B122" s="53" t="s">
        <v>282</v>
      </c>
      <c r="C122" s="51" t="s">
        <v>417</v>
      </c>
      <c r="D122" s="51" t="s">
        <v>503</v>
      </c>
      <c r="E122" s="66">
        <v>7.76084801E8</v>
      </c>
      <c r="F122" s="53" t="s">
        <v>285</v>
      </c>
      <c r="G122" s="53" t="s">
        <v>286</v>
      </c>
    </row>
    <row r="123">
      <c r="A123" s="51" t="s">
        <v>18</v>
      </c>
      <c r="B123" s="53" t="s">
        <v>282</v>
      </c>
      <c r="C123" s="51" t="s">
        <v>417</v>
      </c>
      <c r="D123" s="51" t="s">
        <v>503</v>
      </c>
      <c r="E123" s="66">
        <v>7.76084801E8</v>
      </c>
      <c r="F123" s="53" t="s">
        <v>285</v>
      </c>
      <c r="G123" s="53" t="s">
        <v>286</v>
      </c>
    </row>
    <row r="124">
      <c r="A124" s="51" t="s">
        <v>504</v>
      </c>
      <c r="B124" s="53" t="s">
        <v>282</v>
      </c>
      <c r="C124" s="51" t="s">
        <v>488</v>
      </c>
      <c r="D124" s="51" t="s">
        <v>505</v>
      </c>
      <c r="E124" s="66">
        <v>6.017889E8</v>
      </c>
      <c r="F124" s="53" t="s">
        <v>331</v>
      </c>
      <c r="G124" s="53" t="s">
        <v>286</v>
      </c>
    </row>
    <row r="125">
      <c r="A125" s="51" t="s">
        <v>506</v>
      </c>
      <c r="B125" s="53" t="s">
        <v>282</v>
      </c>
      <c r="C125" s="51" t="s">
        <v>378</v>
      </c>
      <c r="D125" s="51" t="s">
        <v>484</v>
      </c>
      <c r="E125" s="66">
        <v>6.1477764E8</v>
      </c>
      <c r="F125" s="53" t="s">
        <v>331</v>
      </c>
      <c r="G125" s="53" t="s">
        <v>286</v>
      </c>
    </row>
    <row r="126">
      <c r="A126" s="51" t="s">
        <v>24</v>
      </c>
      <c r="B126" s="53" t="s">
        <v>282</v>
      </c>
      <c r="C126" s="51" t="s">
        <v>507</v>
      </c>
      <c r="D126" s="51" t="s">
        <v>508</v>
      </c>
      <c r="E126" s="66">
        <v>6.67470619E8</v>
      </c>
      <c r="F126" s="53" t="s">
        <v>331</v>
      </c>
      <c r="G126" s="53" t="s">
        <v>286</v>
      </c>
    </row>
    <row r="127">
      <c r="A127" s="51" t="s">
        <v>509</v>
      </c>
      <c r="B127" s="53" t="s">
        <v>282</v>
      </c>
      <c r="C127" s="51" t="s">
        <v>296</v>
      </c>
      <c r="D127" s="51" t="s">
        <v>510</v>
      </c>
      <c r="E127" s="66">
        <v>6.77518129E8</v>
      </c>
      <c r="F127" s="53" t="s">
        <v>331</v>
      </c>
      <c r="G127" s="53" t="s">
        <v>286</v>
      </c>
    </row>
    <row r="128">
      <c r="A128" s="51" t="s">
        <v>25</v>
      </c>
      <c r="B128" s="53" t="s">
        <v>282</v>
      </c>
      <c r="C128" s="51" t="s">
        <v>498</v>
      </c>
      <c r="D128" s="51" t="s">
        <v>499</v>
      </c>
      <c r="E128" s="66">
        <v>6.76322961E8</v>
      </c>
      <c r="F128" s="53" t="s">
        <v>331</v>
      </c>
      <c r="G128" s="53" t="s">
        <v>286</v>
      </c>
    </row>
    <row r="129">
      <c r="A129" s="51" t="s">
        <v>86</v>
      </c>
      <c r="B129" s="53" t="s">
        <v>282</v>
      </c>
      <c r="C129" s="51" t="s">
        <v>293</v>
      </c>
      <c r="D129" s="51" t="s">
        <v>511</v>
      </c>
      <c r="E129" s="66">
        <v>6.62254405E8</v>
      </c>
      <c r="F129" s="53" t="s">
        <v>331</v>
      </c>
      <c r="G129" s="53" t="s">
        <v>286</v>
      </c>
    </row>
    <row r="130">
      <c r="A130" s="51" t="s">
        <v>512</v>
      </c>
      <c r="B130" s="53" t="s">
        <v>282</v>
      </c>
      <c r="C130" s="51" t="s">
        <v>296</v>
      </c>
      <c r="D130" s="51" t="s">
        <v>513</v>
      </c>
      <c r="E130" s="66">
        <v>6.70098767E8</v>
      </c>
      <c r="F130" s="53" t="s">
        <v>331</v>
      </c>
      <c r="G130" s="53" t="s">
        <v>286</v>
      </c>
    </row>
    <row r="131">
      <c r="A131" s="51" t="s">
        <v>514</v>
      </c>
      <c r="B131" s="53" t="s">
        <v>282</v>
      </c>
      <c r="C131" s="51" t="s">
        <v>305</v>
      </c>
      <c r="D131" s="51" t="s">
        <v>486</v>
      </c>
      <c r="E131" s="66">
        <v>6.6806112E8</v>
      </c>
      <c r="F131" s="53" t="s">
        <v>331</v>
      </c>
      <c r="G131" s="53" t="s">
        <v>286</v>
      </c>
    </row>
    <row r="132">
      <c r="A132" s="51" t="s">
        <v>515</v>
      </c>
      <c r="B132" s="53" t="s">
        <v>282</v>
      </c>
      <c r="C132" s="51" t="s">
        <v>501</v>
      </c>
      <c r="D132" s="51" t="s">
        <v>502</v>
      </c>
      <c r="E132" s="66">
        <v>6.61233133E8</v>
      </c>
      <c r="F132" s="53" t="s">
        <v>331</v>
      </c>
      <c r="G132" s="53" t="s">
        <v>286</v>
      </c>
    </row>
    <row r="133">
      <c r="A133" s="51" t="s">
        <v>516</v>
      </c>
      <c r="B133" s="53" t="s">
        <v>282</v>
      </c>
      <c r="C133" s="51" t="s">
        <v>305</v>
      </c>
      <c r="D133" s="51" t="s">
        <v>517</v>
      </c>
      <c r="E133" s="66">
        <v>6.30552041E8</v>
      </c>
      <c r="F133" s="53" t="s">
        <v>331</v>
      </c>
      <c r="G133" s="53" t="s">
        <v>286</v>
      </c>
    </row>
    <row r="134">
      <c r="A134" s="51" t="s">
        <v>34</v>
      </c>
      <c r="B134" s="53" t="s">
        <v>282</v>
      </c>
      <c r="C134" s="51" t="s">
        <v>305</v>
      </c>
      <c r="D134" s="51" t="s">
        <v>518</v>
      </c>
      <c r="E134" s="66">
        <v>6.30552041E8</v>
      </c>
      <c r="F134" s="53" t="s">
        <v>331</v>
      </c>
      <c r="G134" s="53" t="s">
        <v>286</v>
      </c>
    </row>
    <row r="135">
      <c r="A135" s="51" t="s">
        <v>38</v>
      </c>
      <c r="B135" s="53" t="s">
        <v>282</v>
      </c>
      <c r="C135" s="51" t="s">
        <v>307</v>
      </c>
      <c r="D135" s="51" t="s">
        <v>519</v>
      </c>
      <c r="E135" s="66">
        <v>6.6199739E8</v>
      </c>
      <c r="F135" s="53" t="s">
        <v>331</v>
      </c>
      <c r="G135" s="53" t="s">
        <v>286</v>
      </c>
    </row>
    <row r="136">
      <c r="A136" s="51" t="s">
        <v>37</v>
      </c>
      <c r="B136" s="53" t="s">
        <v>282</v>
      </c>
      <c r="C136" s="51" t="s">
        <v>460</v>
      </c>
      <c r="D136" s="51" t="s">
        <v>520</v>
      </c>
      <c r="E136" s="66">
        <v>6.57051499E8</v>
      </c>
      <c r="F136" s="53" t="s">
        <v>331</v>
      </c>
      <c r="G136" s="53" t="s">
        <v>286</v>
      </c>
    </row>
    <row r="137">
      <c r="A137" s="51" t="s">
        <v>40</v>
      </c>
      <c r="B137" s="53" t="s">
        <v>282</v>
      </c>
      <c r="C137" s="51" t="s">
        <v>296</v>
      </c>
      <c r="D137" s="51" t="s">
        <v>521</v>
      </c>
      <c r="E137" s="66">
        <v>6.13147244E8</v>
      </c>
      <c r="F137" s="53" t="s">
        <v>331</v>
      </c>
      <c r="G137" s="53" t="s">
        <v>286</v>
      </c>
    </row>
    <row r="138">
      <c r="A138" s="51" t="s">
        <v>36</v>
      </c>
      <c r="B138" s="53" t="s">
        <v>282</v>
      </c>
      <c r="C138" s="51" t="s">
        <v>522</v>
      </c>
      <c r="D138" s="51" t="s">
        <v>523</v>
      </c>
      <c r="E138" s="66">
        <v>6.61054008E8</v>
      </c>
      <c r="F138" s="53" t="s">
        <v>331</v>
      </c>
      <c r="G138" s="53" t="s">
        <v>286</v>
      </c>
    </row>
    <row r="139">
      <c r="A139" s="51" t="s">
        <v>524</v>
      </c>
      <c r="B139" s="53" t="s">
        <v>282</v>
      </c>
      <c r="C139" s="51" t="s">
        <v>283</v>
      </c>
      <c r="D139" s="51" t="s">
        <v>525</v>
      </c>
      <c r="E139" s="66">
        <v>6.61246669E8</v>
      </c>
      <c r="F139" s="53" t="s">
        <v>331</v>
      </c>
      <c r="G139" s="53" t="s">
        <v>286</v>
      </c>
    </row>
    <row r="140">
      <c r="A140" s="51" t="s">
        <v>31</v>
      </c>
      <c r="B140" s="53" t="s">
        <v>282</v>
      </c>
      <c r="C140" s="51" t="s">
        <v>526</v>
      </c>
      <c r="D140" s="51" t="s">
        <v>527</v>
      </c>
      <c r="E140" s="66">
        <v>6.07095062E8</v>
      </c>
      <c r="F140" s="53" t="s">
        <v>331</v>
      </c>
      <c r="G140" s="53" t="s">
        <v>286</v>
      </c>
    </row>
    <row r="141">
      <c r="A141" s="51" t="s">
        <v>51</v>
      </c>
      <c r="B141" s="53" t="s">
        <v>282</v>
      </c>
      <c r="C141" s="51" t="s">
        <v>526</v>
      </c>
      <c r="D141" s="51" t="s">
        <v>527</v>
      </c>
      <c r="E141" s="66">
        <v>6.07095062E8</v>
      </c>
      <c r="F141" s="53" t="s">
        <v>337</v>
      </c>
      <c r="G141" s="53" t="s">
        <v>286</v>
      </c>
    </row>
    <row r="142">
      <c r="A142" s="51" t="s">
        <v>78</v>
      </c>
      <c r="B142" s="53" t="s">
        <v>282</v>
      </c>
      <c r="C142" s="51" t="s">
        <v>350</v>
      </c>
      <c r="D142" s="51" t="s">
        <v>528</v>
      </c>
      <c r="E142" s="66">
        <v>6.76398981E8</v>
      </c>
      <c r="F142" s="53" t="s">
        <v>331</v>
      </c>
      <c r="G142" s="53" t="s">
        <v>286</v>
      </c>
    </row>
    <row r="143">
      <c r="A143" s="51" t="s">
        <v>112</v>
      </c>
      <c r="B143" s="53" t="s">
        <v>282</v>
      </c>
      <c r="C143" s="51" t="s">
        <v>293</v>
      </c>
      <c r="D143" s="51" t="s">
        <v>529</v>
      </c>
      <c r="E143" s="66">
        <v>6.64855666E8</v>
      </c>
      <c r="F143" s="53" t="s">
        <v>331</v>
      </c>
      <c r="G143" s="53" t="s">
        <v>286</v>
      </c>
    </row>
    <row r="144">
      <c r="A144" s="51" t="s">
        <v>530</v>
      </c>
      <c r="B144" s="53" t="s">
        <v>282</v>
      </c>
      <c r="C144" s="51" t="s">
        <v>531</v>
      </c>
      <c r="D144" s="51" t="s">
        <v>532</v>
      </c>
      <c r="E144" s="66">
        <v>6.44706232E8</v>
      </c>
      <c r="F144" s="53" t="s">
        <v>331</v>
      </c>
      <c r="G144" s="53" t="s">
        <v>286</v>
      </c>
    </row>
    <row r="145">
      <c r="A145" s="51" t="s">
        <v>89</v>
      </c>
      <c r="B145" s="53" t="s">
        <v>282</v>
      </c>
      <c r="C145" s="51" t="s">
        <v>293</v>
      </c>
      <c r="D145" s="51" t="s">
        <v>533</v>
      </c>
      <c r="E145" s="66">
        <v>6.62604914E8</v>
      </c>
      <c r="F145" s="53" t="s">
        <v>331</v>
      </c>
      <c r="G145" s="53" t="s">
        <v>286</v>
      </c>
    </row>
    <row r="146">
      <c r="A146" s="51" t="s">
        <v>90</v>
      </c>
      <c r="B146" s="53" t="s">
        <v>282</v>
      </c>
      <c r="C146" s="51" t="s">
        <v>498</v>
      </c>
      <c r="D146" s="58"/>
      <c r="E146" s="66">
        <v>6.6201647E8</v>
      </c>
      <c r="F146" s="53" t="s">
        <v>331</v>
      </c>
      <c r="G146" s="53" t="s">
        <v>286</v>
      </c>
    </row>
    <row r="147">
      <c r="A147" s="51" t="s">
        <v>98</v>
      </c>
      <c r="B147" s="53" t="s">
        <v>282</v>
      </c>
      <c r="C147" s="51" t="s">
        <v>534</v>
      </c>
      <c r="D147" s="51" t="s">
        <v>535</v>
      </c>
      <c r="E147" s="66">
        <v>6.58845641E8</v>
      </c>
      <c r="F147" s="53" t="s">
        <v>331</v>
      </c>
      <c r="G147" s="53" t="s">
        <v>286</v>
      </c>
    </row>
    <row r="148">
      <c r="A148" s="51" t="s">
        <v>99</v>
      </c>
      <c r="B148" s="53" t="s">
        <v>282</v>
      </c>
      <c r="C148" s="58"/>
      <c r="D148" s="51" t="s">
        <v>536</v>
      </c>
      <c r="E148" s="66">
        <v>6.77809689E8</v>
      </c>
      <c r="F148" s="53" t="s">
        <v>331</v>
      </c>
      <c r="G148" s="53" t="s">
        <v>286</v>
      </c>
    </row>
    <row r="149">
      <c r="A149" s="51" t="s">
        <v>111</v>
      </c>
      <c r="B149" s="53" t="s">
        <v>282</v>
      </c>
      <c r="C149" s="51" t="s">
        <v>537</v>
      </c>
      <c r="D149" s="51" t="s">
        <v>538</v>
      </c>
      <c r="E149" s="66">
        <v>6.70099252E8</v>
      </c>
      <c r="F149" s="53" t="s">
        <v>331</v>
      </c>
      <c r="G149" s="53" t="s">
        <v>286</v>
      </c>
    </row>
    <row r="150">
      <c r="A150" s="51" t="s">
        <v>103</v>
      </c>
      <c r="B150" s="53" t="s">
        <v>282</v>
      </c>
      <c r="C150" s="51" t="s">
        <v>539</v>
      </c>
      <c r="D150" s="51" t="s">
        <v>540</v>
      </c>
      <c r="E150" s="66">
        <v>6.50237767E8</v>
      </c>
      <c r="F150" s="53" t="s">
        <v>331</v>
      </c>
      <c r="G150" s="53" t="s">
        <v>286</v>
      </c>
    </row>
    <row r="151">
      <c r="A151" s="51" t="s">
        <v>104</v>
      </c>
      <c r="B151" s="53" t="s">
        <v>282</v>
      </c>
      <c r="C151" s="51" t="s">
        <v>539</v>
      </c>
      <c r="D151" s="51" t="s">
        <v>540</v>
      </c>
      <c r="E151" s="66">
        <v>6.50237767E8</v>
      </c>
      <c r="F151" s="53" t="s">
        <v>331</v>
      </c>
      <c r="G151" s="53" t="s">
        <v>286</v>
      </c>
    </row>
    <row r="152">
      <c r="A152" s="51" t="s">
        <v>107</v>
      </c>
      <c r="B152" s="53" t="s">
        <v>282</v>
      </c>
      <c r="C152" s="51" t="s">
        <v>287</v>
      </c>
      <c r="D152" s="51" t="s">
        <v>541</v>
      </c>
      <c r="E152" s="66">
        <v>7.77172781E8</v>
      </c>
      <c r="F152" s="53" t="s">
        <v>331</v>
      </c>
      <c r="G152" s="53" t="s">
        <v>286</v>
      </c>
    </row>
    <row r="153">
      <c r="A153" s="51" t="s">
        <v>105</v>
      </c>
      <c r="B153" s="53" t="s">
        <v>282</v>
      </c>
      <c r="C153" s="51" t="s">
        <v>542</v>
      </c>
      <c r="D153" s="51" t="s">
        <v>543</v>
      </c>
      <c r="E153" s="66">
        <v>6.72580055E8</v>
      </c>
      <c r="F153" s="53" t="s">
        <v>331</v>
      </c>
      <c r="G153" s="53" t="s">
        <v>286</v>
      </c>
    </row>
    <row r="154">
      <c r="A154" s="51" t="s">
        <v>544</v>
      </c>
      <c r="B154" s="53" t="s">
        <v>282</v>
      </c>
      <c r="C154" s="51" t="s">
        <v>305</v>
      </c>
      <c r="D154" s="51" t="s">
        <v>545</v>
      </c>
      <c r="E154" s="66">
        <v>6.62363369E8</v>
      </c>
      <c r="F154" s="53" t="s">
        <v>331</v>
      </c>
      <c r="G154" s="53" t="s">
        <v>286</v>
      </c>
    </row>
    <row r="155">
      <c r="A155" s="51" t="s">
        <v>546</v>
      </c>
      <c r="B155" s="53" t="s">
        <v>282</v>
      </c>
      <c r="C155" s="51" t="s">
        <v>363</v>
      </c>
      <c r="D155" s="51" t="s">
        <v>547</v>
      </c>
      <c r="E155" s="66">
        <v>7.04942959E8</v>
      </c>
      <c r="F155" s="53" t="s">
        <v>331</v>
      </c>
      <c r="G155" s="53" t="s">
        <v>286</v>
      </c>
    </row>
    <row r="156">
      <c r="A156" s="51" t="s">
        <v>110</v>
      </c>
      <c r="B156" s="53" t="s">
        <v>282</v>
      </c>
      <c r="C156" s="51" t="s">
        <v>287</v>
      </c>
      <c r="D156" s="51" t="s">
        <v>548</v>
      </c>
      <c r="E156" s="66">
        <v>6.62646686E8</v>
      </c>
      <c r="F156" s="53" t="s">
        <v>331</v>
      </c>
      <c r="G156" s="53" t="s">
        <v>286</v>
      </c>
    </row>
    <row r="157">
      <c r="A157" s="51" t="s">
        <v>106</v>
      </c>
      <c r="B157" s="53" t="s">
        <v>282</v>
      </c>
      <c r="C157" s="51" t="s">
        <v>293</v>
      </c>
      <c r="D157" s="51" t="s">
        <v>529</v>
      </c>
      <c r="E157" s="66">
        <v>6.64855666E8</v>
      </c>
      <c r="F157" s="53" t="s">
        <v>331</v>
      </c>
      <c r="G157" s="53" t="s">
        <v>286</v>
      </c>
    </row>
    <row r="158">
      <c r="A158" s="51" t="s">
        <v>549</v>
      </c>
      <c r="B158" s="53" t="s">
        <v>282</v>
      </c>
      <c r="C158" s="51" t="s">
        <v>296</v>
      </c>
      <c r="D158" s="51" t="s">
        <v>550</v>
      </c>
      <c r="E158" s="66">
        <v>6.96170937E8</v>
      </c>
      <c r="F158" s="53" t="s">
        <v>337</v>
      </c>
      <c r="G158" s="53" t="s">
        <v>286</v>
      </c>
    </row>
    <row r="159">
      <c r="A159" s="51" t="s">
        <v>551</v>
      </c>
      <c r="B159" s="53" t="s">
        <v>282</v>
      </c>
      <c r="C159" s="51" t="s">
        <v>293</v>
      </c>
      <c r="D159" s="51" t="s">
        <v>552</v>
      </c>
      <c r="E159" s="66">
        <v>6.6077893E8</v>
      </c>
      <c r="F159" s="53" t="s">
        <v>337</v>
      </c>
      <c r="G159" s="53" t="s">
        <v>286</v>
      </c>
    </row>
    <row r="160">
      <c r="A160" s="67" t="s">
        <v>195</v>
      </c>
      <c r="B160" s="53" t="s">
        <v>282</v>
      </c>
      <c r="C160" s="51" t="s">
        <v>296</v>
      </c>
      <c r="D160" s="51" t="s">
        <v>550</v>
      </c>
      <c r="E160" s="66">
        <v>6.96170937E8</v>
      </c>
      <c r="F160" s="53" t="s">
        <v>337</v>
      </c>
      <c r="G160" s="53" t="s">
        <v>286</v>
      </c>
    </row>
  </sheetData>
  <dataValidations>
    <dataValidation type="list" allowBlank="1" showErrorMessage="1" sqref="F2:F109">
      <formula1>$R$4:$R$16</formula1>
    </dataValidation>
    <dataValidation type="list" allowBlank="1" showErrorMessage="1" sqref="B110:B160 F110:G160">
      <formula1>#REF!</formula1>
    </dataValidation>
    <dataValidation type="list" allowBlank="1" showErrorMessage="1" sqref="G2:G109">
      <formula1>$Q$8:$Q$10</formula1>
    </dataValidation>
    <dataValidation type="list" allowBlank="1" showErrorMessage="1" sqref="B2:B109">
      <formula1>$P$8:$P$11</formula1>
    </dataValidation>
    <dataValidation type="list" allowBlank="1" showErrorMessage="1" sqref="C87">
      <formula1>$F$10:$F$12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2025-12-02T14:36:46Z</dcterms:created>
  <dc:creator>Hp</dc:creator>
</cp:coreProperties>
</file>